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Teaching\Public Finance\PublicFinanceGitHub\Additional Material\"/>
    </mc:Choice>
  </mc:AlternateContent>
  <xr:revisionPtr revIDLastSave="0" documentId="13_ncr:1_{BC0C0E60-1D5B-47BD-B04C-DA2D8927E70E}" xr6:coauthVersionLast="47" xr6:coauthVersionMax="47" xr10:uidLastSave="{00000000-0000-0000-0000-000000000000}"/>
  <bookViews>
    <workbookView xWindow="32811" yWindow="-103" windowWidth="33120" windowHeight="18000" activeTab="6" xr2:uid="{00000000-000D-0000-FFFF-FFFF00000000}"/>
  </bookViews>
  <sheets>
    <sheet name="Line Item Budget" sheetId="2" r:id="rId1"/>
    <sheet name="Program Budget" sheetId="4" r:id="rId2"/>
    <sheet name="HRD Parameters" sheetId="5" r:id="rId3"/>
    <sheet name="HRD Budget" sheetId="6" r:id="rId4"/>
    <sheet name="SPEAville Police" sheetId="7" r:id="rId5"/>
    <sheet name="PARK CONGESTION" sheetId="9" r:id="rId6"/>
    <sheet name="STATE TAXE REFORM" sheetId="8" r:id="rId7"/>
  </sheets>
  <externalReferences>
    <externalReference r:id="rId8"/>
  </externalReferences>
  <definedNames>
    <definedName name="Planted">#REF!</definedName>
    <definedName name="solver_adj" localSheetId="5" hidden="1">'PARK CONGESTION'!$B$8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'PARK CONGESTION'!$B$8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1</definedName>
    <definedName name="solver_nwt" localSheetId="5" hidden="1">1</definedName>
    <definedName name="solver_opt" localSheetId="5" hidden="1">'PARK CONGESTION'!$B$13</definedName>
    <definedName name="solver_pre" localSheetId="5" hidden="1">0.000001</definedName>
    <definedName name="solver_rbv" localSheetId="5" hidden="1">1</definedName>
    <definedName name="solver_rel1" localSheetId="5" hidden="1">3</definedName>
    <definedName name="solver_rhs1" localSheetId="5" hidden="1">0.01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  <definedName name="STC13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9" l="1"/>
  <c r="B10" i="9" s="1"/>
  <c r="B12" i="9"/>
  <c r="B13" i="9" s="1"/>
  <c r="L28" i="8"/>
  <c r="L23" i="8"/>
  <c r="L18" i="8"/>
  <c r="L13" i="8"/>
  <c r="L30" i="8" s="1"/>
  <c r="C5" i="8"/>
  <c r="B5" i="8"/>
  <c r="C4" i="8"/>
  <c r="D4" i="8" s="1"/>
  <c r="C3" i="8"/>
  <c r="D3" i="8" s="1"/>
  <c r="E3" i="8" s="1"/>
  <c r="F3" i="8" s="1"/>
  <c r="G3" i="8" s="1"/>
  <c r="H3" i="8" s="1"/>
  <c r="I3" i="8" s="1"/>
  <c r="J3" i="8" s="1"/>
  <c r="K3" i="8" s="1"/>
  <c r="G10" i="7"/>
  <c r="D12" i="7"/>
  <c r="D13" i="7"/>
  <c r="B17" i="7"/>
  <c r="C17" i="7"/>
  <c r="D17" i="7"/>
  <c r="E17" i="7"/>
  <c r="F17" i="7"/>
  <c r="F24" i="7" s="1"/>
  <c r="F31" i="7" s="1"/>
  <c r="G18" i="7"/>
  <c r="D20" i="7"/>
  <c r="D21" i="7"/>
  <c r="B24" i="7"/>
  <c r="B31" i="7" s="1"/>
  <c r="C24" i="7"/>
  <c r="C31" i="7" s="1"/>
  <c r="D24" i="7"/>
  <c r="D31" i="7" s="1"/>
  <c r="E24" i="7"/>
  <c r="E31" i="7" s="1"/>
  <c r="B32" i="7"/>
  <c r="C32" i="7"/>
  <c r="D32" i="7"/>
  <c r="E32" i="7"/>
  <c r="F32" i="7"/>
  <c r="B34" i="7"/>
  <c r="C34" i="7"/>
  <c r="B35" i="7"/>
  <c r="C35" i="7"/>
  <c r="C37" i="7"/>
  <c r="B41" i="7"/>
  <c r="C41" i="7"/>
  <c r="D41" i="7"/>
  <c r="E41" i="7"/>
  <c r="F41" i="7"/>
  <c r="B48" i="7"/>
  <c r="C48" i="7"/>
  <c r="D48" i="7"/>
  <c r="E48" i="7"/>
  <c r="F48" i="7"/>
  <c r="B49" i="7"/>
  <c r="C49" i="7"/>
  <c r="D49" i="7"/>
  <c r="E49" i="7"/>
  <c r="G49" i="7" s="1"/>
  <c r="B56" i="7" s="1"/>
  <c r="F49" i="7"/>
  <c r="B51" i="7"/>
  <c r="C51" i="7"/>
  <c r="D51" i="7"/>
  <c r="B52" i="7"/>
  <c r="C52" i="7"/>
  <c r="D52" i="7"/>
  <c r="B55" i="7"/>
  <c r="C55" i="7"/>
  <c r="D55" i="7"/>
  <c r="E55" i="7"/>
  <c r="F55" i="7"/>
  <c r="C56" i="7"/>
  <c r="D56" i="7"/>
  <c r="E56" i="7"/>
  <c r="F56" i="7"/>
  <c r="B58" i="7"/>
  <c r="C58" i="7"/>
  <c r="D58" i="7"/>
  <c r="B59" i="7"/>
  <c r="C59" i="7"/>
  <c r="D59" i="7"/>
  <c r="B62" i="7"/>
  <c r="C62" i="7"/>
  <c r="D62" i="7"/>
  <c r="E62" i="7"/>
  <c r="F62" i="7"/>
  <c r="B69" i="7"/>
  <c r="C69" i="7"/>
  <c r="D69" i="7"/>
  <c r="E69" i="7"/>
  <c r="F69" i="7"/>
  <c r="C70" i="7"/>
  <c r="D70" i="7"/>
  <c r="E70" i="7"/>
  <c r="F70" i="7"/>
  <c r="B72" i="7"/>
  <c r="C72" i="7"/>
  <c r="B73" i="7"/>
  <c r="C73" i="7"/>
  <c r="B5" i="6"/>
  <c r="C5" i="6"/>
  <c r="B12" i="6"/>
  <c r="D12" i="6" s="1"/>
  <c r="C12" i="6"/>
  <c r="E12" i="6"/>
  <c r="F12" i="6"/>
  <c r="G12" i="6"/>
  <c r="B13" i="6"/>
  <c r="C13" i="6"/>
  <c r="D13" i="6"/>
  <c r="B25" i="6"/>
  <c r="C25" i="6"/>
  <c r="D25" i="6"/>
  <c r="D4" i="5"/>
  <c r="D5" i="5"/>
  <c r="B6" i="5"/>
  <c r="B11" i="6" s="1"/>
  <c r="C6" i="5"/>
  <c r="C11" i="6" s="1"/>
  <c r="D7" i="5"/>
  <c r="B11" i="5"/>
  <c r="C11" i="5"/>
  <c r="C7" i="6" s="1"/>
  <c r="D4" i="4"/>
  <c r="D14" i="4"/>
  <c r="D25" i="4"/>
  <c r="D24" i="4"/>
  <c r="D23" i="4"/>
  <c r="D22" i="4"/>
  <c r="D21" i="4"/>
  <c r="C40" i="4"/>
  <c r="C42" i="4" s="1"/>
  <c r="D40" i="4"/>
  <c r="E40" i="4"/>
  <c r="B40" i="4"/>
  <c r="B42" i="4" s="1"/>
  <c r="F39" i="4"/>
  <c r="F31" i="4"/>
  <c r="F32" i="4"/>
  <c r="F33" i="4"/>
  <c r="F34" i="4"/>
  <c r="F35" i="4"/>
  <c r="F36" i="4"/>
  <c r="F37" i="4"/>
  <c r="F38" i="4"/>
  <c r="F30" i="4"/>
  <c r="E4" i="8" l="1"/>
  <c r="D5" i="8"/>
  <c r="G56" i="7"/>
  <c r="B70" i="7"/>
  <c r="C75" i="7" s="1"/>
  <c r="D5" i="6"/>
  <c r="D6" i="6" s="1"/>
  <c r="E5" i="6"/>
  <c r="B6" i="6"/>
  <c r="B20" i="6" s="1"/>
  <c r="D20" i="6" s="1"/>
  <c r="B7" i="6"/>
  <c r="F5" i="6"/>
  <c r="C6" i="6"/>
  <c r="C20" i="6" s="1"/>
  <c r="C10" i="6"/>
  <c r="C14" i="6" s="1"/>
  <c r="D11" i="6"/>
  <c r="C41" i="4"/>
  <c r="C43" i="4" s="1"/>
  <c r="C48" i="4" s="1"/>
  <c r="F40" i="4"/>
  <c r="F42" i="4" s="1"/>
  <c r="E42" i="4"/>
  <c r="B41" i="4"/>
  <c r="B43" i="4" s="1"/>
  <c r="B48" i="4" s="1"/>
  <c r="D42" i="4"/>
  <c r="E41" i="4"/>
  <c r="D41" i="4"/>
  <c r="C18" i="2"/>
  <c r="D18" i="2"/>
  <c r="B18" i="2"/>
  <c r="C7" i="2"/>
  <c r="D7" i="2"/>
  <c r="B7" i="2"/>
  <c r="C9" i="2"/>
  <c r="D9" i="2"/>
  <c r="B9" i="2"/>
  <c r="B9" i="4"/>
  <c r="C9" i="4"/>
  <c r="D9" i="4"/>
  <c r="B17" i="4"/>
  <c r="C17" i="4"/>
  <c r="D17" i="4"/>
  <c r="F4" i="8" l="1"/>
  <c r="E5" i="8"/>
  <c r="E25" i="6"/>
  <c r="E11" i="6"/>
  <c r="G11" i="6" s="1"/>
  <c r="E7" i="6"/>
  <c r="E13" i="6"/>
  <c r="G13" i="6" s="1"/>
  <c r="E6" i="6"/>
  <c r="E20" i="6" s="1"/>
  <c r="G20" i="6" s="1"/>
  <c r="G5" i="6"/>
  <c r="G6" i="6" s="1"/>
  <c r="B10" i="6"/>
  <c r="D7" i="6"/>
  <c r="F13" i="6"/>
  <c r="F7" i="6"/>
  <c r="F25" i="6"/>
  <c r="F11" i="6"/>
  <c r="F6" i="6"/>
  <c r="F20" i="6" s="1"/>
  <c r="C15" i="6"/>
  <c r="E43" i="4"/>
  <c r="E48" i="4" s="1"/>
  <c r="F41" i="4"/>
  <c r="F43" i="4" s="1"/>
  <c r="F48" i="4" s="1"/>
  <c r="D43" i="4"/>
  <c r="D48" i="4" s="1"/>
  <c r="G4" i="8" l="1"/>
  <c r="F5" i="8"/>
  <c r="G25" i="6"/>
  <c r="E10" i="6"/>
  <c r="G7" i="6"/>
  <c r="E8" i="6" s="1"/>
  <c r="B14" i="6"/>
  <c r="D10" i="6"/>
  <c r="D14" i="6" s="1"/>
  <c r="D15" i="6" s="1"/>
  <c r="F10" i="6"/>
  <c r="F14" i="6" s="1"/>
  <c r="F8" i="6"/>
  <c r="C8" i="6"/>
  <c r="B8" i="6"/>
  <c r="H4" i="8" l="1"/>
  <c r="G5" i="8"/>
  <c r="E18" i="6"/>
  <c r="E19" i="6"/>
  <c r="G19" i="6" s="1"/>
  <c r="G8" i="6"/>
  <c r="E14" i="6"/>
  <c r="G10" i="6"/>
  <c r="G14" i="6" s="1"/>
  <c r="G15" i="6" s="1"/>
  <c r="C16" i="6"/>
  <c r="B15" i="6"/>
  <c r="B16" i="6"/>
  <c r="D16" i="6" s="1"/>
  <c r="F16" i="6"/>
  <c r="F15" i="6"/>
  <c r="F19" i="6"/>
  <c r="F18" i="6"/>
  <c r="F21" i="6" s="1"/>
  <c r="C18" i="6"/>
  <c r="C19" i="6"/>
  <c r="D8" i="6"/>
  <c r="B18" i="6"/>
  <c r="B19" i="6"/>
  <c r="D19" i="6" s="1"/>
  <c r="I4" i="8" l="1"/>
  <c r="H5" i="8"/>
  <c r="E21" i="6"/>
  <c r="G18" i="6"/>
  <c r="G21" i="6" s="1"/>
  <c r="E16" i="6"/>
  <c r="G16" i="6" s="1"/>
  <c r="E15" i="6"/>
  <c r="F22" i="6"/>
  <c r="F23" i="6"/>
  <c r="D18" i="6"/>
  <c r="D21" i="6" s="1"/>
  <c r="B21" i="6"/>
  <c r="C21" i="6"/>
  <c r="J4" i="8" l="1"/>
  <c r="I5" i="8"/>
  <c r="E23" i="6"/>
  <c r="E22" i="6"/>
  <c r="G23" i="6"/>
  <c r="G22" i="6"/>
  <c r="F26" i="6"/>
  <c r="F27" i="6" s="1"/>
  <c r="F24" i="6"/>
  <c r="D23" i="6"/>
  <c r="D22" i="6"/>
  <c r="B23" i="6"/>
  <c r="B22" i="6"/>
  <c r="C23" i="6"/>
  <c r="C22" i="6"/>
  <c r="K4" i="8" l="1"/>
  <c r="K5" i="8" s="1"/>
  <c r="J5" i="8"/>
  <c r="E26" i="6"/>
  <c r="E27" i="6" s="1"/>
  <c r="E24" i="6"/>
  <c r="G26" i="6"/>
  <c r="G27" i="6" s="1"/>
  <c r="G24" i="6"/>
  <c r="D24" i="6"/>
  <c r="D26" i="6"/>
  <c r="D27" i="6" s="1"/>
  <c r="B26" i="6"/>
  <c r="B27" i="6" s="1"/>
  <c r="B24" i="6"/>
  <c r="C26" i="6"/>
  <c r="C27" i="6" s="1"/>
  <c r="C24" i="6"/>
</calcChain>
</file>

<file path=xl/sharedStrings.xml><?xml version="1.0" encoding="utf-8"?>
<sst xmlns="http://schemas.openxmlformats.org/spreadsheetml/2006/main" count="277" uniqueCount="195">
  <si>
    <t>Operating Expenditures Total</t>
  </si>
  <si>
    <t>Supplies</t>
  </si>
  <si>
    <t>Utilities</t>
  </si>
  <si>
    <t>Telecommunications</t>
  </si>
  <si>
    <t>Books and Periodicals</t>
  </si>
  <si>
    <t>Operating Expenditures</t>
  </si>
  <si>
    <t>Operating Income Total</t>
  </si>
  <si>
    <t>Fines and Other Income</t>
  </si>
  <si>
    <t>Donations</t>
  </si>
  <si>
    <t>State</t>
  </si>
  <si>
    <t>County</t>
  </si>
  <si>
    <t>Municipality</t>
  </si>
  <si>
    <t>Operating Income</t>
  </si>
  <si>
    <t>Program Element Totals</t>
  </si>
  <si>
    <t>Current Obligations</t>
  </si>
  <si>
    <t>Equipment</t>
  </si>
  <si>
    <t>Supplies &amp; Materials</t>
  </si>
  <si>
    <t>Contractual Services</t>
  </si>
  <si>
    <t>Total Labor Costs</t>
  </si>
  <si>
    <t>Overtime @ 5%</t>
  </si>
  <si>
    <t>Subtotal: Salaries</t>
  </si>
  <si>
    <t>Clerk-Stenographers</t>
  </si>
  <si>
    <t>Secretary</t>
  </si>
  <si>
    <t>Photo Technician</t>
  </si>
  <si>
    <t>Lab Technician</t>
  </si>
  <si>
    <t>Photographer</t>
  </si>
  <si>
    <t>Detectives</t>
  </si>
  <si>
    <t>Inspectors</t>
  </si>
  <si>
    <t>Sergeants</t>
  </si>
  <si>
    <t>Lab Supervisor</t>
  </si>
  <si>
    <t>Lieutenant</t>
  </si>
  <si>
    <t>Personal Services</t>
  </si>
  <si>
    <t>Subprogram Totals</t>
  </si>
  <si>
    <t>Lab Support</t>
  </si>
  <si>
    <t>Juveniles</t>
  </si>
  <si>
    <t>Vice Squad</t>
  </si>
  <si>
    <t>Line-Item</t>
  </si>
  <si>
    <t>Crosswalk</t>
  </si>
  <si>
    <t>Next Fiscal Year</t>
  </si>
  <si>
    <t>Current Budget</t>
  </si>
  <si>
    <t>Last Fiscal Year</t>
  </si>
  <si>
    <t>Totals</t>
  </si>
  <si>
    <t>Laboratory Services</t>
  </si>
  <si>
    <t>Juvenile Section</t>
  </si>
  <si>
    <t>Detective Section</t>
  </si>
  <si>
    <t>Total</t>
  </si>
  <si>
    <t>Rehabilitation of Offenders</t>
  </si>
  <si>
    <t>Judgment of Non-Traffic Offenses</t>
  </si>
  <si>
    <t>Police Investigations</t>
  </si>
  <si>
    <t>Police Operations</t>
  </si>
  <si>
    <t>Prevention &amp; Control of Other Hazards</t>
  </si>
  <si>
    <t>Maintenance of Public Order</t>
  </si>
  <si>
    <t>Fire Safety</t>
  </si>
  <si>
    <t>Traffic Safety</t>
  </si>
  <si>
    <t>Law Enforcement</t>
  </si>
  <si>
    <t>Salaries and Wages</t>
  </si>
  <si>
    <t>Employee Benefits</t>
  </si>
  <si>
    <t>Staff and Board Continuing Education</t>
  </si>
  <si>
    <t>Equipment Repair</t>
  </si>
  <si>
    <t>Staff Benefits (35%)</t>
  </si>
  <si>
    <t>PROGRAM BUDGET FOR PUBLIC SAFETY</t>
  </si>
  <si>
    <t>Program</t>
  </si>
  <si>
    <t>Subprogram</t>
  </si>
  <si>
    <r>
      <t xml:space="preserve">Budget for </t>
    </r>
    <r>
      <rPr>
        <i/>
        <sz val="11"/>
        <color rgb="FFFF0000"/>
        <rFont val="Lucida Sans Typewriter"/>
        <family val="3"/>
      </rPr>
      <t>Law Enforcement</t>
    </r>
    <r>
      <rPr>
        <i/>
        <sz val="11"/>
        <color theme="1"/>
        <rFont val="Lucida Sans Typewriter"/>
        <family val="3"/>
      </rPr>
      <t xml:space="preserve"> Program </t>
    </r>
  </si>
  <si>
    <r>
      <t xml:space="preserve">Budget for </t>
    </r>
    <r>
      <rPr>
        <i/>
        <sz val="11"/>
        <color theme="8"/>
        <rFont val="Lucida Sans Typewriter"/>
        <family val="3"/>
      </rPr>
      <t>Police Investigation</t>
    </r>
  </si>
  <si>
    <t>Program Element</t>
  </si>
  <si>
    <t>Maintenance facility (lease rate)</t>
  </si>
  <si>
    <t>Months per year</t>
  </si>
  <si>
    <t>Variable rate per mile</t>
  </si>
  <si>
    <t>Fixed rate/month</t>
  </si>
  <si>
    <t>Equipment lease</t>
  </si>
  <si>
    <t>Assistant's salary</t>
  </si>
  <si>
    <t>Director's salary (inc. fringe benefits)</t>
  </si>
  <si>
    <t>Maintenance employee salary (inc. fringe benefits)</t>
  </si>
  <si>
    <t>Benchmark miles per person per year</t>
  </si>
  <si>
    <t>Actual</t>
  </si>
  <si>
    <t>Productivity (miles per person per year)</t>
  </si>
  <si>
    <t>State reimbursement/mile</t>
  </si>
  <si>
    <t>Days worked per employee year</t>
  </si>
  <si>
    <t>Personnel (FTE)</t>
  </si>
  <si>
    <t>Cost per mile</t>
  </si>
  <si>
    <t>Miles Repaired</t>
  </si>
  <si>
    <t>Supplies expenditures</t>
  </si>
  <si>
    <t>Maintenance and Personal Information</t>
  </si>
  <si>
    <t>Total Department</t>
  </si>
  <si>
    <t>Paved Road</t>
  </si>
  <si>
    <t>Gravel Road</t>
  </si>
  <si>
    <t>HOOSIER COUNTY ROAD DEPARTMENT BASIC INFORMATION</t>
  </si>
  <si>
    <t>Surplus/deficit per mile</t>
  </si>
  <si>
    <t>Total surplus/deficit</t>
  </si>
  <si>
    <t>Total revenue</t>
  </si>
  <si>
    <t>Total cost per mile</t>
  </si>
  <si>
    <t>Total cost</t>
  </si>
  <si>
    <t>Indirect cost per mile</t>
  </si>
  <si>
    <t>Total indirect cost</t>
  </si>
  <si>
    <t>Maintenance facility (miles)</t>
  </si>
  <si>
    <t>Assistant (personnel)</t>
  </si>
  <si>
    <t>Director (personnel)</t>
  </si>
  <si>
    <t>Indirect costs</t>
  </si>
  <si>
    <t>(percent of total)</t>
  </si>
  <si>
    <t>Direct cost per mile</t>
  </si>
  <si>
    <t>Total direct cost</t>
  </si>
  <si>
    <t>Variable (Miles x rate)</t>
  </si>
  <si>
    <t>Equipment (fixed)</t>
  </si>
  <si>
    <t>Supplies (Miles x rate)</t>
  </si>
  <si>
    <t>Personnel (Employees x salary)</t>
  </si>
  <si>
    <t>Direct costs</t>
  </si>
  <si>
    <t>Employees (% of total)</t>
  </si>
  <si>
    <t>Employees</t>
  </si>
  <si>
    <t>Miles repaired (% of total)</t>
  </si>
  <si>
    <t>Miles repaired</t>
  </si>
  <si>
    <t>Information on operations</t>
  </si>
  <si>
    <t>Paved</t>
  </si>
  <si>
    <t>Gravel</t>
  </si>
  <si>
    <t>Maximum Productivity</t>
  </si>
  <si>
    <t>Baseline</t>
  </si>
  <si>
    <t>HOOSIER COUNTY ROAD DEPARTMENT</t>
  </si>
  <si>
    <t>TOTAL REQUESTED BUDGET</t>
  </si>
  <si>
    <t>Sergeant</t>
  </si>
  <si>
    <t>Maximum Rate</t>
  </si>
  <si>
    <t>Probationary Rate</t>
  </si>
  <si>
    <t>Patrol Officer</t>
  </si>
  <si>
    <t>Title of Position</t>
  </si>
  <si>
    <t>Salary Budget</t>
  </si>
  <si>
    <t>Positions by Tenure (2019)</t>
  </si>
  <si>
    <t>Number of Employees Leaving</t>
  </si>
  <si>
    <t>Positions by Grade and Step (2019)</t>
  </si>
  <si>
    <t>CASE 2: Incorporating historical turnover rates</t>
  </si>
  <si>
    <t>CASE 1: No turnover and no new hires</t>
  </si>
  <si>
    <t>4 and more years</t>
  </si>
  <si>
    <t>3 years</t>
  </si>
  <si>
    <t>2 years</t>
  </si>
  <si>
    <t>1 year</t>
  </si>
  <si>
    <t>&lt; 1 year</t>
  </si>
  <si>
    <t>Positions by Tenure (2018) O'Neill PD</t>
  </si>
  <si>
    <t>Adopted</t>
  </si>
  <si>
    <t>Requested</t>
  </si>
  <si>
    <t>Max.</t>
  </si>
  <si>
    <t>Min.</t>
  </si>
  <si>
    <t>2017 Actual</t>
  </si>
  <si>
    <t>Pay</t>
  </si>
  <si>
    <t>Grade</t>
  </si>
  <si>
    <t>Budgeted Positions O'Neill PD</t>
  </si>
  <si>
    <t>Case Study: State Taxes</t>
  </si>
  <si>
    <t>Household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</si>
  <si>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</si>
  <si>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</si>
  <si>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</si>
  <si>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</si>
  <si>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</si>
  <si>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</si>
  <si>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</si>
  <si>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</si>
  <si>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</si>
  <si>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</si>
  <si>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Alpha Gasoline</t>
  </si>
  <si>
    <t>Alpha Food</t>
  </si>
  <si>
    <t>Alpha Other Goods</t>
  </si>
  <si>
    <t>Income Before State Income Tax</t>
  </si>
  <si>
    <t>State Income Tax Rate (%)</t>
  </si>
  <si>
    <t>Sales Tax Rate (%)</t>
  </si>
  <si>
    <t>Gasoline Tax Rate ($)</t>
  </si>
  <si>
    <t>Wholesale Price: Gasoline ($)</t>
  </si>
  <si>
    <t>Wholesale Price: Food ($)</t>
  </si>
  <si>
    <t>Wholesale Price: Other Goods ($)</t>
  </si>
  <si>
    <t>State Income Tax Revenue ($)</t>
  </si>
  <si>
    <t>Income After State Income Tax ($)</t>
  </si>
  <si>
    <t>Gasoline Retail Price ($)</t>
  </si>
  <si>
    <t>Gasoline Quantity Demanded</t>
  </si>
  <si>
    <t>Gasoline Total Expenditure ($)</t>
  </si>
  <si>
    <t>Gasoline Tax Expenditure ($)</t>
  </si>
  <si>
    <t>Gasoline Effective Tax Rate (%)</t>
  </si>
  <si>
    <t>Food Retail Price ($)</t>
  </si>
  <si>
    <t>Food Quantity Demanded</t>
  </si>
  <si>
    <t>Food Total Expenditure ($)</t>
  </si>
  <si>
    <t>Food Tax Expenditure ($)</t>
  </si>
  <si>
    <t>Food Effective Tax Rate (%)</t>
  </si>
  <si>
    <t>Other Goods Retail Price ($)</t>
  </si>
  <si>
    <t>Other Goods Quantity Demanded</t>
  </si>
  <si>
    <t>Other Goods Total Expenditure ($)</t>
  </si>
  <si>
    <t>Other Goods Tax Expenditure ($)</t>
  </si>
  <si>
    <t>Other Goods Effective Tax Rate (%)</t>
  </si>
  <si>
    <t>Total Tax Expenditures ($)</t>
  </si>
  <si>
    <t>Effective Tax Rate All Taxes (%)</t>
  </si>
  <si>
    <t>Total Surplus</t>
  </si>
  <si>
    <t>Benefit per Person</t>
  </si>
  <si>
    <t>Tax per Person</t>
  </si>
  <si>
    <t>Cost</t>
  </si>
  <si>
    <t>Park Size (G)</t>
  </si>
  <si>
    <t>b</t>
  </si>
  <si>
    <t>a</t>
  </si>
  <si>
    <t>phi</t>
  </si>
  <si>
    <t>v</t>
  </si>
  <si>
    <t>Population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</si>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</sst>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_([$$-409]* #,##0_);_([$$-409]* \(#,##0\);_([$$-409]* &quot;-&quot;??_);_(@_)"/>
    <numFmt numFmtId="167" formatCode="0.0%"/>
    <numFmt numFmtId="168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Lucida Sans Typewriter"/>
      <family val="3"/>
    </font>
    <font>
      <sz val="11"/>
      <color theme="1"/>
      <name val="Calibri"/>
      <family val="2"/>
      <scheme val="minor"/>
    </font>
    <font>
      <i/>
      <sz val="11"/>
      <color theme="1"/>
      <name val="Lucida Sans Typewriter"/>
      <family val="3"/>
    </font>
    <font>
      <b/>
      <sz val="11"/>
      <color theme="1"/>
      <name val="Lucida Sans Typewriter"/>
      <family val="3"/>
    </font>
    <font>
      <sz val="11"/>
      <color rgb="FFFF0000"/>
      <name val="Lucida Sans Typewriter"/>
      <family val="3"/>
    </font>
    <font>
      <sz val="11"/>
      <color theme="8"/>
      <name val="Lucida Sans Typewriter"/>
      <family val="3"/>
    </font>
    <font>
      <b/>
      <sz val="11"/>
      <color rgb="FFFF0000"/>
      <name val="Lucida Sans Typewriter"/>
      <family val="3"/>
    </font>
    <font>
      <i/>
      <sz val="11"/>
      <color rgb="FFFF0000"/>
      <name val="Lucida Sans Typewriter"/>
      <family val="3"/>
    </font>
    <font>
      <i/>
      <sz val="11"/>
      <color theme="8"/>
      <name val="Lucida Sans Typewriter"/>
      <family val="3"/>
    </font>
    <font>
      <b/>
      <sz val="11"/>
      <color theme="9"/>
      <name val="Lucida Sans Typewriter"/>
      <family val="3"/>
    </font>
    <font>
      <sz val="10"/>
      <name val="MS Sans Serif"/>
    </font>
    <font>
      <sz val="11"/>
      <name val="Lucida Sans"/>
      <family val="2"/>
    </font>
    <font>
      <b/>
      <sz val="11"/>
      <name val="Lucida Sans"/>
      <family val="2"/>
    </font>
    <font>
      <sz val="11"/>
      <name val="Lucida Sans Typewriter"/>
      <family val="3"/>
    </font>
    <font>
      <b/>
      <sz val="11"/>
      <name val="Lucida Sans Typewriter"/>
      <family val="3"/>
    </font>
    <font>
      <i/>
      <sz val="11"/>
      <name val="Lucida Sans Typewriter"/>
      <family val="3"/>
    </font>
    <font>
      <b/>
      <i/>
      <sz val="11"/>
      <name val="Lucida Sans Typewriter"/>
      <family val="3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</cellStyleXfs>
  <cellXfs count="146">
    <xf numFmtId="0" fontId="0" fillId="0" borderId="0" xfId="0"/>
    <xf numFmtId="0" fontId="1" fillId="0" borderId="0" xfId="0" applyFont="1" applyAlignment="1">
      <alignment vertical="center"/>
    </xf>
    <xf numFmtId="6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1" fillId="0" borderId="0" xfId="1" applyNumberFormat="1" applyFont="1" applyAlignment="1">
      <alignment vertical="center"/>
    </xf>
    <xf numFmtId="164" fontId="1" fillId="0" borderId="1" xfId="1" applyNumberFormat="1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4" fillId="0" borderId="1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1" fillId="0" borderId="0" xfId="1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10" fillId="2" borderId="1" xfId="0" applyNumberFormat="1" applyFont="1" applyFill="1" applyBorder="1" applyAlignment="1">
      <alignment vertical="center"/>
    </xf>
    <xf numFmtId="164" fontId="10" fillId="0" borderId="1" xfId="1" applyNumberFormat="1" applyFont="1" applyFill="1" applyBorder="1" applyAlignment="1">
      <alignment vertical="center"/>
    </xf>
    <xf numFmtId="164" fontId="1" fillId="2" borderId="0" xfId="1" applyNumberFormat="1" applyFont="1" applyFill="1" applyAlignment="1">
      <alignment vertical="center"/>
    </xf>
    <xf numFmtId="164" fontId="7" fillId="2" borderId="1" xfId="1" applyNumberFormat="1" applyFont="1" applyFill="1" applyBorder="1" applyAlignment="1">
      <alignment vertical="center"/>
    </xf>
    <xf numFmtId="164" fontId="5" fillId="2" borderId="0" xfId="1" applyNumberFormat="1" applyFont="1" applyFill="1" applyAlignment="1">
      <alignment vertical="center"/>
    </xf>
    <xf numFmtId="164" fontId="4" fillId="2" borderId="1" xfId="1" applyNumberFormat="1" applyFont="1" applyFill="1" applyBorder="1" applyAlignment="1">
      <alignment vertical="center"/>
    </xf>
    <xf numFmtId="0" fontId="12" fillId="0" borderId="0" xfId="3" applyFont="1" applyAlignment="1">
      <alignment vertical="center"/>
    </xf>
    <xf numFmtId="165" fontId="12" fillId="0" borderId="2" xfId="3" applyNumberFormat="1" applyFont="1" applyBorder="1" applyAlignment="1">
      <alignment horizontal="right" vertical="center"/>
    </xf>
    <xf numFmtId="0" fontId="12" fillId="0" borderId="2" xfId="3" applyFont="1" applyBorder="1" applyAlignment="1">
      <alignment horizontal="right" vertical="center"/>
    </xf>
    <xf numFmtId="0" fontId="12" fillId="0" borderId="2" xfId="3" applyFont="1" applyBorder="1" applyAlignment="1">
      <alignment horizontal="left" vertical="center"/>
    </xf>
    <xf numFmtId="0" fontId="12" fillId="0" borderId="0" xfId="3" applyFont="1" applyAlignment="1">
      <alignment horizontal="right" vertical="center"/>
    </xf>
    <xf numFmtId="166" fontId="12" fillId="0" borderId="0" xfId="3" applyNumberFormat="1" applyFont="1" applyAlignment="1">
      <alignment horizontal="right" vertical="center"/>
    </xf>
    <xf numFmtId="0" fontId="12" fillId="0" borderId="0" xfId="3" quotePrefix="1" applyFont="1" applyAlignment="1">
      <alignment horizontal="left" vertical="center"/>
    </xf>
    <xf numFmtId="0" fontId="12" fillId="0" borderId="3" xfId="3" applyFont="1" applyBorder="1" applyAlignment="1">
      <alignment vertical="center"/>
    </xf>
    <xf numFmtId="0" fontId="12" fillId="0" borderId="3" xfId="3" applyFont="1" applyBorder="1" applyAlignment="1">
      <alignment horizontal="center" vertical="center"/>
    </xf>
    <xf numFmtId="0" fontId="12" fillId="0" borderId="3" xfId="3" applyFont="1" applyBorder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2" fillId="0" borderId="2" xfId="3" applyFont="1" applyBorder="1" applyAlignment="1">
      <alignment vertical="center"/>
    </xf>
    <xf numFmtId="2" fontId="12" fillId="0" borderId="2" xfId="3" applyNumberFormat="1" applyFont="1" applyBorder="1" applyAlignment="1">
      <alignment vertical="center"/>
    </xf>
    <xf numFmtId="2" fontId="12" fillId="0" borderId="0" xfId="3" applyNumberFormat="1" applyFont="1" applyAlignment="1">
      <alignment vertical="center"/>
    </xf>
    <xf numFmtId="6" fontId="12" fillId="0" borderId="0" xfId="3" applyNumberFormat="1" applyFont="1" applyAlignment="1">
      <alignment vertical="center"/>
    </xf>
    <xf numFmtId="0" fontId="12" fillId="0" borderId="1" xfId="3" applyFont="1" applyBorder="1" applyAlignment="1">
      <alignment vertical="center"/>
    </xf>
    <xf numFmtId="166" fontId="12" fillId="0" borderId="1" xfId="3" applyNumberFormat="1" applyFont="1" applyBorder="1" applyAlignment="1">
      <alignment vertical="center"/>
    </xf>
    <xf numFmtId="0" fontId="12" fillId="0" borderId="1" xfId="3" applyFont="1" applyBorder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2" xfId="3" applyFont="1" applyBorder="1" applyAlignment="1">
      <alignment vertical="center"/>
    </xf>
    <xf numFmtId="0" fontId="13" fillId="0" borderId="2" xfId="3" applyFont="1" applyBorder="1" applyAlignment="1">
      <alignment horizontal="center" vertical="center"/>
    </xf>
    <xf numFmtId="0" fontId="14" fillId="0" borderId="0" xfId="3" applyFont="1" applyAlignment="1">
      <alignment vertical="center"/>
    </xf>
    <xf numFmtId="6" fontId="14" fillId="0" borderId="4" xfId="3" applyNumberFormat="1" applyFont="1" applyBorder="1" applyAlignment="1">
      <alignment horizontal="right" vertical="center"/>
    </xf>
    <xf numFmtId="6" fontId="14" fillId="0" borderId="2" xfId="3" applyNumberFormat="1" applyFont="1" applyBorder="1" applyAlignment="1">
      <alignment horizontal="right" vertical="center"/>
    </xf>
    <xf numFmtId="6" fontId="14" fillId="0" borderId="5" xfId="3" applyNumberFormat="1" applyFont="1" applyBorder="1" applyAlignment="1">
      <alignment horizontal="right" vertical="center"/>
    </xf>
    <xf numFmtId="0" fontId="14" fillId="0" borderId="6" xfId="3" applyFont="1" applyBorder="1" applyAlignment="1">
      <alignment vertical="center"/>
    </xf>
    <xf numFmtId="165" fontId="15" fillId="0" borderId="7" xfId="3" applyNumberFormat="1" applyFont="1" applyBorder="1" applyAlignment="1">
      <alignment horizontal="right" vertical="center"/>
    </xf>
    <xf numFmtId="165" fontId="15" fillId="0" borderId="0" xfId="3" applyNumberFormat="1" applyFont="1" applyAlignment="1">
      <alignment horizontal="right" vertical="center"/>
    </xf>
    <xf numFmtId="165" fontId="15" fillId="0" borderId="8" xfId="3" applyNumberFormat="1" applyFont="1" applyBorder="1" applyAlignment="1">
      <alignment horizontal="right" vertical="center"/>
    </xf>
    <xf numFmtId="165" fontId="14" fillId="0" borderId="7" xfId="3" applyNumberFormat="1" applyFont="1" applyBorder="1" applyAlignment="1">
      <alignment horizontal="right" vertical="center"/>
    </xf>
    <xf numFmtId="165" fontId="14" fillId="0" borderId="0" xfId="3" applyNumberFormat="1" applyFont="1" applyAlignment="1">
      <alignment horizontal="right" vertical="center"/>
    </xf>
    <xf numFmtId="165" fontId="14" fillId="0" borderId="8" xfId="3" applyNumberFormat="1" applyFont="1" applyBorder="1" applyAlignment="1">
      <alignment horizontal="right" vertical="center"/>
    </xf>
    <xf numFmtId="0" fontId="14" fillId="0" borderId="9" xfId="3" quotePrefix="1" applyFont="1" applyBorder="1" applyAlignment="1">
      <alignment horizontal="left" vertical="center"/>
    </xf>
    <xf numFmtId="0" fontId="14" fillId="0" borderId="9" xfId="3" applyFont="1" applyBorder="1" applyAlignment="1">
      <alignment vertical="center"/>
    </xf>
    <xf numFmtId="0" fontId="15" fillId="0" borderId="9" xfId="3" quotePrefix="1" applyFont="1" applyBorder="1" applyAlignment="1">
      <alignment horizontal="left" vertical="center"/>
    </xf>
    <xf numFmtId="165" fontId="14" fillId="0" borderId="4" xfId="3" applyNumberFormat="1" applyFont="1" applyBorder="1" applyAlignment="1">
      <alignment horizontal="right" vertical="center"/>
    </xf>
    <xf numFmtId="165" fontId="14" fillId="0" borderId="2" xfId="3" applyNumberFormat="1" applyFont="1" applyBorder="1" applyAlignment="1">
      <alignment horizontal="right" vertical="center"/>
    </xf>
    <xf numFmtId="165" fontId="14" fillId="0" borderId="5" xfId="3" applyNumberFormat="1" applyFont="1" applyBorder="1" applyAlignment="1">
      <alignment horizontal="right" vertical="center"/>
    </xf>
    <xf numFmtId="0" fontId="14" fillId="0" borderId="7" xfId="3" applyFont="1" applyBorder="1" applyAlignment="1">
      <alignment horizontal="right" vertical="center"/>
    </xf>
    <xf numFmtId="0" fontId="16" fillId="0" borderId="9" xfId="3" applyFont="1" applyBorder="1" applyAlignment="1">
      <alignment vertical="center"/>
    </xf>
    <xf numFmtId="167" fontId="14" fillId="0" borderId="4" xfId="3" applyNumberFormat="1" applyFont="1" applyBorder="1" applyAlignment="1">
      <alignment horizontal="right" vertical="center"/>
    </xf>
    <xf numFmtId="167" fontId="14" fillId="0" borderId="2" xfId="3" applyNumberFormat="1" applyFont="1" applyBorder="1" applyAlignment="1">
      <alignment horizontal="right" vertical="center"/>
    </xf>
    <xf numFmtId="167" fontId="14" fillId="0" borderId="5" xfId="3" applyNumberFormat="1" applyFont="1" applyBorder="1" applyAlignment="1">
      <alignment horizontal="right" vertical="center"/>
    </xf>
    <xf numFmtId="0" fontId="14" fillId="0" borderId="0" xfId="3" applyFont="1" applyAlignment="1">
      <alignment horizontal="right" vertical="center"/>
    </xf>
    <xf numFmtId="0" fontId="14" fillId="0" borderId="8" xfId="3" applyFont="1" applyBorder="1" applyAlignment="1">
      <alignment horizontal="right" vertical="center"/>
    </xf>
    <xf numFmtId="0" fontId="16" fillId="0" borderId="9" xfId="3" quotePrefix="1" applyFont="1" applyBorder="1" applyAlignment="1">
      <alignment horizontal="left" vertical="center"/>
    </xf>
    <xf numFmtId="2" fontId="14" fillId="0" borderId="7" xfId="3" applyNumberFormat="1" applyFont="1" applyBorder="1" applyAlignment="1">
      <alignment horizontal="right" vertical="center"/>
    </xf>
    <xf numFmtId="2" fontId="14" fillId="0" borderId="0" xfId="3" applyNumberFormat="1" applyFont="1" applyAlignment="1">
      <alignment horizontal="right" vertical="center"/>
    </xf>
    <xf numFmtId="2" fontId="14" fillId="0" borderId="8" xfId="3" applyNumberFormat="1" applyFont="1" applyBorder="1" applyAlignment="1">
      <alignment horizontal="right" vertical="center"/>
    </xf>
    <xf numFmtId="167" fontId="14" fillId="0" borderId="7" xfId="3" applyNumberFormat="1" applyFont="1" applyBorder="1" applyAlignment="1">
      <alignment horizontal="right" vertical="center"/>
    </xf>
    <xf numFmtId="167" fontId="14" fillId="0" borderId="0" xfId="3" applyNumberFormat="1" applyFont="1" applyAlignment="1">
      <alignment horizontal="right" vertical="center"/>
    </xf>
    <xf numFmtId="167" fontId="14" fillId="0" borderId="8" xfId="3" applyNumberFormat="1" applyFont="1" applyBorder="1" applyAlignment="1">
      <alignment horizontal="right" vertical="center"/>
    </xf>
    <xf numFmtId="0" fontId="14" fillId="0" borderId="9" xfId="3" applyFont="1" applyBorder="1" applyAlignment="1">
      <alignment horizontal="left" vertical="center"/>
    </xf>
    <xf numFmtId="0" fontId="14" fillId="0" borderId="7" xfId="3" applyFont="1" applyBorder="1" applyAlignment="1">
      <alignment vertical="center"/>
    </xf>
    <xf numFmtId="0" fontId="14" fillId="0" borderId="8" xfId="3" applyFont="1" applyBorder="1" applyAlignment="1">
      <alignment vertical="center"/>
    </xf>
    <xf numFmtId="0" fontId="17" fillId="0" borderId="4" xfId="3" applyFont="1" applyBorder="1" applyAlignment="1">
      <alignment horizontal="center" vertical="center"/>
    </xf>
    <xf numFmtId="0" fontId="17" fillId="0" borderId="2" xfId="3" applyFont="1" applyBorder="1" applyAlignment="1">
      <alignment horizontal="center" vertical="center"/>
    </xf>
    <xf numFmtId="0" fontId="17" fillId="0" borderId="5" xfId="3" applyFont="1" applyBorder="1" applyAlignment="1">
      <alignment horizontal="center" vertical="center"/>
    </xf>
    <xf numFmtId="0" fontId="14" fillId="0" borderId="12" xfId="3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164" fontId="18" fillId="0" borderId="15" xfId="1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64" fontId="18" fillId="0" borderId="0" xfId="1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15" xfId="0" applyFont="1" applyBorder="1" applyAlignment="1">
      <alignment vertical="center"/>
    </xf>
    <xf numFmtId="9" fontId="18" fillId="0" borderId="15" xfId="2" applyFont="1" applyBorder="1" applyAlignment="1">
      <alignment horizontal="center" vertical="center"/>
    </xf>
    <xf numFmtId="9" fontId="18" fillId="0" borderId="0" xfId="2" applyFont="1" applyBorder="1" applyAlignment="1">
      <alignment horizontal="center" vertical="center"/>
    </xf>
    <xf numFmtId="164" fontId="18" fillId="0" borderId="15" xfId="1" applyNumberFormat="1" applyFont="1" applyBorder="1" applyAlignment="1">
      <alignment vertical="center"/>
    </xf>
    <xf numFmtId="164" fontId="18" fillId="0" borderId="0" xfId="1" applyNumberFormat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3" fillId="0" borderId="2" xfId="3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4" xfId="3" quotePrefix="1" applyFont="1" applyBorder="1" applyAlignment="1">
      <alignment horizontal="center" vertical="center"/>
    </xf>
    <xf numFmtId="0" fontId="15" fillId="0" borderId="1" xfId="3" quotePrefix="1" applyFont="1" applyBorder="1" applyAlignment="1">
      <alignment horizontal="center" vertical="center"/>
    </xf>
    <xf numFmtId="0" fontId="15" fillId="0" borderId="13" xfId="3" quotePrefix="1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4" fillId="0" borderId="10" xfId="3" applyFont="1" applyBorder="1" applyAlignment="1">
      <alignment horizontal="center" vertical="center"/>
    </xf>
    <xf numFmtId="0" fontId="18" fillId="0" borderId="17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22" fillId="0" borderId="0" xfId="1" applyNumberFormat="1" applyFont="1" applyAlignment="1">
      <alignment vertical="center"/>
    </xf>
    <xf numFmtId="9" fontId="22" fillId="0" borderId="0" xfId="2" applyFont="1" applyBorder="1" applyAlignment="1">
      <alignment vertical="center"/>
    </xf>
    <xf numFmtId="44" fontId="22" fillId="0" borderId="0" xfId="1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44" fontId="22" fillId="0" borderId="2" xfId="1" applyFont="1" applyBorder="1" applyAlignment="1">
      <alignment vertical="center"/>
    </xf>
    <xf numFmtId="164" fontId="21" fillId="0" borderId="0" xfId="0" applyNumberFormat="1" applyFont="1" applyAlignment="1">
      <alignment horizontal="center" vertical="center"/>
    </xf>
    <xf numFmtId="164" fontId="22" fillId="0" borderId="2" xfId="1" applyNumberFormat="1" applyFont="1" applyBorder="1" applyAlignment="1">
      <alignment vertical="center"/>
    </xf>
    <xf numFmtId="37" fontId="22" fillId="0" borderId="0" xfId="0" applyNumberFormat="1" applyFont="1" applyAlignment="1">
      <alignment vertical="center"/>
    </xf>
    <xf numFmtId="164" fontId="22" fillId="0" borderId="0" xfId="1" applyNumberFormat="1" applyFont="1" applyBorder="1" applyAlignment="1">
      <alignment vertical="center"/>
    </xf>
    <xf numFmtId="167" fontId="22" fillId="0" borderId="2" xfId="2" applyNumberFormat="1" applyFont="1" applyBorder="1" applyAlignment="1">
      <alignment vertical="center"/>
    </xf>
    <xf numFmtId="167" fontId="22" fillId="0" borderId="0" xfId="2" applyNumberFormat="1" applyFont="1" applyBorder="1" applyAlignment="1">
      <alignment vertical="center"/>
    </xf>
    <xf numFmtId="44" fontId="21" fillId="0" borderId="0" xfId="1" applyFont="1" applyBorder="1" applyAlignment="1">
      <alignment horizontal="center" vertical="center"/>
    </xf>
    <xf numFmtId="44" fontId="22" fillId="0" borderId="0" xfId="0" applyNumberFormat="1" applyFont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10" fontId="22" fillId="0" borderId="0" xfId="2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44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168" fontId="1" fillId="0" borderId="0" xfId="4" applyNumberFormat="1" applyFont="1" applyAlignment="1">
      <alignment vertical="center"/>
    </xf>
  </cellXfs>
  <cellStyles count="5">
    <cellStyle name="Comma" xfId="4" builtinId="3"/>
    <cellStyle name="Currency" xfId="1" builtinId="4"/>
    <cellStyle name="Normal" xfId="0" builtinId="0"/>
    <cellStyle name="Normal 2" xfId="3" xr:uid="{940B43CE-EE2C-43D4-A4B2-C69566EE232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dministrative%20Material/PublicFinanceStudentData.xlsx" TargetMode="External"/><Relationship Id="rId2" Type="http://schemas.openxmlformats.org/officeDocument/2006/relationships/externalLinkPath" Target="file:///D:\Teaching\Public%20Finance\Administrative%20Material\PublicFinanceStudentData.xlsx" TargetMode="External"/><Relationship Id="rId1" Type="http://schemas.openxmlformats.org/officeDocument/2006/relationships/externalLinkPath" Target="/Teaching/Public%20Finance/Administrative%20Material/PublicFinanceStudent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TE TAX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FE36-F811-4E9F-B084-D5129560DFED}">
  <dimension ref="A1:D18"/>
  <sheetViews>
    <sheetView workbookViewId="0">
      <selection activeCell="A24" sqref="A24"/>
    </sheetView>
  </sheetViews>
  <sheetFormatPr defaultColWidth="25.69140625" defaultRowHeight="20.149999999999999" customHeight="1" x14ac:dyDescent="0.4"/>
  <cols>
    <col min="1" max="1" width="50.69140625" style="1" customWidth="1"/>
    <col min="2" max="16384" width="25.69140625" style="1"/>
  </cols>
  <sheetData>
    <row r="1" spans="1:4" ht="20.149999999999999" customHeight="1" x14ac:dyDescent="0.4">
      <c r="A1" s="6" t="s">
        <v>12</v>
      </c>
      <c r="B1" s="4" t="s">
        <v>40</v>
      </c>
      <c r="C1" s="4" t="s">
        <v>39</v>
      </c>
      <c r="D1" s="4" t="s">
        <v>38</v>
      </c>
    </row>
    <row r="2" spans="1:4" ht="20.149999999999999" customHeight="1" x14ac:dyDescent="0.4">
      <c r="A2" s="1" t="s">
        <v>11</v>
      </c>
      <c r="B2" s="10">
        <v>41640</v>
      </c>
      <c r="C2" s="10">
        <v>39050</v>
      </c>
      <c r="D2" s="10">
        <v>47190</v>
      </c>
    </row>
    <row r="3" spans="1:4" ht="20.149999999999999" customHeight="1" x14ac:dyDescent="0.4">
      <c r="A3" s="1" t="s">
        <v>10</v>
      </c>
      <c r="B3" s="10">
        <v>26400</v>
      </c>
      <c r="C3" s="10">
        <v>23980.000000000004</v>
      </c>
      <c r="D3" s="10">
        <v>28600</v>
      </c>
    </row>
    <row r="4" spans="1:4" ht="20.149999999999999" customHeight="1" x14ac:dyDescent="0.4">
      <c r="A4" s="1" t="s">
        <v>9</v>
      </c>
      <c r="B4" s="10">
        <v>1800</v>
      </c>
      <c r="C4" s="10">
        <v>1925.0000000000002</v>
      </c>
      <c r="D4" s="10">
        <v>2730</v>
      </c>
    </row>
    <row r="5" spans="1:4" ht="20.149999999999999" customHeight="1" x14ac:dyDescent="0.4">
      <c r="A5" s="1" t="s">
        <v>8</v>
      </c>
      <c r="B5" s="10">
        <v>600</v>
      </c>
      <c r="C5" s="10">
        <v>550</v>
      </c>
      <c r="D5" s="10">
        <v>650</v>
      </c>
    </row>
    <row r="6" spans="1:4" ht="20.149999999999999" customHeight="1" x14ac:dyDescent="0.4">
      <c r="A6" s="1" t="s">
        <v>7</v>
      </c>
      <c r="B6" s="10">
        <v>1560</v>
      </c>
      <c r="C6" s="10">
        <v>2310</v>
      </c>
      <c r="D6" s="10">
        <v>2730</v>
      </c>
    </row>
    <row r="7" spans="1:4" ht="20.149999999999999" customHeight="1" x14ac:dyDescent="0.4">
      <c r="A7" s="6" t="s">
        <v>6</v>
      </c>
      <c r="B7" s="12">
        <f>SUM(B2:B6)</f>
        <v>72000</v>
      </c>
      <c r="C7" s="12">
        <f t="shared" ref="C7:D7" si="0">SUM(C2:C6)</f>
        <v>67815</v>
      </c>
      <c r="D7" s="12">
        <f t="shared" si="0"/>
        <v>81900</v>
      </c>
    </row>
    <row r="8" spans="1:4" ht="20.149999999999999" customHeight="1" x14ac:dyDescent="0.4">
      <c r="B8" s="2"/>
      <c r="C8" s="2"/>
      <c r="D8" s="2"/>
    </row>
    <row r="9" spans="1:4" ht="20.149999999999999" customHeight="1" x14ac:dyDescent="0.4">
      <c r="A9" s="6" t="s">
        <v>5</v>
      </c>
      <c r="B9" s="4" t="str">
        <f>B1</f>
        <v>Last Fiscal Year</v>
      </c>
      <c r="C9" s="4" t="str">
        <f t="shared" ref="C9:D9" si="1">C1</f>
        <v>Current Budget</v>
      </c>
      <c r="D9" s="4" t="str">
        <f t="shared" si="1"/>
        <v>Next Fiscal Year</v>
      </c>
    </row>
    <row r="10" spans="1:4" ht="20.149999999999999" customHeight="1" x14ac:dyDescent="0.4">
      <c r="A10" s="1" t="s">
        <v>55</v>
      </c>
      <c r="B10" s="10">
        <v>28980</v>
      </c>
      <c r="C10" s="10">
        <v>27170.000000000004</v>
      </c>
      <c r="D10" s="10">
        <v>33345</v>
      </c>
    </row>
    <row r="11" spans="1:4" ht="20.149999999999999" customHeight="1" x14ac:dyDescent="0.4">
      <c r="A11" s="1" t="s">
        <v>56</v>
      </c>
      <c r="B11" s="10">
        <v>20100</v>
      </c>
      <c r="C11" s="10">
        <v>18700</v>
      </c>
      <c r="D11" s="10">
        <v>21255</v>
      </c>
    </row>
    <row r="12" spans="1:4" ht="20.149999999999999" customHeight="1" x14ac:dyDescent="0.4">
      <c r="A12" s="1" t="s">
        <v>4</v>
      </c>
      <c r="B12" s="10">
        <v>11520</v>
      </c>
      <c r="C12" s="10">
        <v>11000</v>
      </c>
      <c r="D12" s="10">
        <v>13650</v>
      </c>
    </row>
    <row r="13" spans="1:4" ht="20.149999999999999" customHeight="1" x14ac:dyDescent="0.4">
      <c r="A13" s="1" t="s">
        <v>57</v>
      </c>
      <c r="B13" s="10">
        <v>2280</v>
      </c>
      <c r="C13" s="10">
        <v>2145</v>
      </c>
      <c r="D13" s="10">
        <v>2730</v>
      </c>
    </row>
    <row r="14" spans="1:4" ht="20.149999999999999" customHeight="1" x14ac:dyDescent="0.4">
      <c r="A14" s="1" t="s">
        <v>3</v>
      </c>
      <c r="B14" s="10">
        <v>1710</v>
      </c>
      <c r="C14" s="10">
        <v>1650.0000000000002</v>
      </c>
      <c r="D14" s="10">
        <v>2047.5</v>
      </c>
    </row>
    <row r="15" spans="1:4" ht="20.149999999999999" customHeight="1" x14ac:dyDescent="0.4">
      <c r="A15" s="1" t="s">
        <v>2</v>
      </c>
      <c r="B15" s="10">
        <v>4560</v>
      </c>
      <c r="C15" s="10">
        <v>4400</v>
      </c>
      <c r="D15" s="10">
        <v>5460</v>
      </c>
    </row>
    <row r="16" spans="1:4" ht="20.149999999999999" customHeight="1" x14ac:dyDescent="0.4">
      <c r="A16" s="1" t="s">
        <v>58</v>
      </c>
      <c r="B16" s="10">
        <v>1140</v>
      </c>
      <c r="C16" s="10">
        <v>1100</v>
      </c>
      <c r="D16" s="10">
        <v>1365</v>
      </c>
    </row>
    <row r="17" spans="1:4" ht="20.149999999999999" customHeight="1" x14ac:dyDescent="0.4">
      <c r="A17" s="1" t="s">
        <v>1</v>
      </c>
      <c r="B17" s="10">
        <v>1710</v>
      </c>
      <c r="C17" s="10">
        <v>1650.0000000000002</v>
      </c>
      <c r="D17" s="10">
        <v>2047.5</v>
      </c>
    </row>
    <row r="18" spans="1:4" ht="20.149999999999999" customHeight="1" x14ac:dyDescent="0.4">
      <c r="A18" s="6" t="s">
        <v>0</v>
      </c>
      <c r="B18" s="12">
        <f>SUM(B10:B17)</f>
        <v>72000</v>
      </c>
      <c r="C18" s="12">
        <f t="shared" ref="C18:D18" si="2">SUM(C10:C17)</f>
        <v>67815</v>
      </c>
      <c r="D18" s="12">
        <f t="shared" si="2"/>
        <v>81900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D83B-8214-4E04-A2E5-AF5D150F835A}">
  <sheetPr>
    <pageSetUpPr fitToPage="1"/>
  </sheetPr>
  <dimension ref="A1:F48"/>
  <sheetViews>
    <sheetView zoomScaleNormal="100" workbookViewId="0">
      <selection activeCell="A14" sqref="A14"/>
    </sheetView>
  </sheetViews>
  <sheetFormatPr defaultColWidth="25.69140625" defaultRowHeight="20.149999999999999" customHeight="1" x14ac:dyDescent="0.4"/>
  <cols>
    <col min="1" max="1" width="75.69140625" style="1" customWidth="1"/>
    <col min="2" max="16384" width="25.69140625" style="1"/>
  </cols>
  <sheetData>
    <row r="1" spans="1:6" ht="20.149999999999999" customHeight="1" x14ac:dyDescent="0.4">
      <c r="A1" s="108" t="s">
        <v>60</v>
      </c>
      <c r="B1" s="108"/>
      <c r="C1" s="108"/>
      <c r="D1" s="108"/>
      <c r="E1" s="108"/>
      <c r="F1" s="108"/>
    </row>
    <row r="2" spans="1:6" ht="20.149999999999999" customHeight="1" x14ac:dyDescent="0.4">
      <c r="A2" s="14"/>
      <c r="B2" s="14"/>
      <c r="C2" s="14"/>
      <c r="D2" s="14"/>
    </row>
    <row r="3" spans="1:6" s="5" customFormat="1" ht="20.149999999999999" customHeight="1" x14ac:dyDescent="0.4">
      <c r="A3" s="9" t="s">
        <v>61</v>
      </c>
      <c r="B3" s="4" t="s">
        <v>40</v>
      </c>
      <c r="C3" s="4" t="s">
        <v>39</v>
      </c>
      <c r="D3" s="15" t="s">
        <v>38</v>
      </c>
    </row>
    <row r="4" spans="1:6" ht="20.149999999999999" customHeight="1" x14ac:dyDescent="0.4">
      <c r="A4" s="7" t="s">
        <v>54</v>
      </c>
      <c r="B4" s="16">
        <v>3770595</v>
      </c>
      <c r="C4" s="16">
        <v>4122005</v>
      </c>
      <c r="D4" s="22">
        <f>D17</f>
        <v>4731772.4000000004</v>
      </c>
    </row>
    <row r="5" spans="1:6" ht="20.149999999999999" customHeight="1" x14ac:dyDescent="0.4">
      <c r="A5" s="1" t="s">
        <v>53</v>
      </c>
      <c r="B5" s="10">
        <v>1415720</v>
      </c>
      <c r="C5" s="10">
        <v>1604830</v>
      </c>
      <c r="D5" s="20">
        <v>1861680</v>
      </c>
    </row>
    <row r="6" spans="1:6" ht="20.149999999999999" customHeight="1" x14ac:dyDescent="0.4">
      <c r="A6" s="1" t="s">
        <v>52</v>
      </c>
      <c r="B6" s="10">
        <v>2202670</v>
      </c>
      <c r="C6" s="10">
        <v>3778975</v>
      </c>
      <c r="D6" s="20">
        <v>4499125</v>
      </c>
    </row>
    <row r="7" spans="1:6" ht="20.149999999999999" customHeight="1" x14ac:dyDescent="0.4">
      <c r="A7" s="1" t="s">
        <v>51</v>
      </c>
      <c r="B7" s="10">
        <v>459435</v>
      </c>
      <c r="C7" s="10">
        <v>510605</v>
      </c>
      <c r="D7" s="20">
        <v>592230</v>
      </c>
    </row>
    <row r="8" spans="1:6" ht="20.149999999999999" customHeight="1" x14ac:dyDescent="0.4">
      <c r="A8" s="1" t="s">
        <v>50</v>
      </c>
      <c r="B8" s="10">
        <v>582045</v>
      </c>
      <c r="C8" s="10">
        <v>726128</v>
      </c>
      <c r="D8" s="20">
        <v>871245</v>
      </c>
    </row>
    <row r="9" spans="1:6" ht="20.149999999999999" customHeight="1" x14ac:dyDescent="0.4">
      <c r="A9" s="6" t="s">
        <v>45</v>
      </c>
      <c r="B9" s="12">
        <f>SUM(B4:B8)</f>
        <v>8430465</v>
      </c>
      <c r="C9" s="12">
        <f>SUM(C4:C8)</f>
        <v>10742543</v>
      </c>
      <c r="D9" s="23">
        <f>SUM(D4:D8)</f>
        <v>12556052.4</v>
      </c>
    </row>
    <row r="10" spans="1:6" ht="20.149999999999999" customHeight="1" x14ac:dyDescent="0.4">
      <c r="B10" s="2"/>
      <c r="C10" s="2"/>
      <c r="D10" s="2"/>
    </row>
    <row r="11" spans="1:6" ht="20.149999999999999" customHeight="1" x14ac:dyDescent="0.4">
      <c r="A11" s="107" t="s">
        <v>63</v>
      </c>
      <c r="B11" s="107"/>
      <c r="C11" s="107"/>
      <c r="D11" s="107"/>
    </row>
    <row r="12" spans="1:6" s="5" customFormat="1" ht="20.149999999999999" customHeight="1" x14ac:dyDescent="0.4">
      <c r="A12" s="9" t="s">
        <v>62</v>
      </c>
      <c r="B12" s="4" t="s">
        <v>40</v>
      </c>
      <c r="C12" s="4" t="s">
        <v>39</v>
      </c>
      <c r="D12" s="15" t="s">
        <v>38</v>
      </c>
    </row>
    <row r="13" spans="1:6" ht="20.149999999999999" customHeight="1" x14ac:dyDescent="0.4">
      <c r="A13" s="1" t="s">
        <v>49</v>
      </c>
      <c r="B13" s="10">
        <v>2308265</v>
      </c>
      <c r="C13" s="10">
        <v>2498640</v>
      </c>
      <c r="D13" s="20">
        <v>2876080</v>
      </c>
    </row>
    <row r="14" spans="1:6" ht="20.149999999999999" customHeight="1" x14ac:dyDescent="0.4">
      <c r="A14" s="8" t="s">
        <v>48</v>
      </c>
      <c r="B14" s="16">
        <v>1068160</v>
      </c>
      <c r="C14" s="16">
        <v>1196645</v>
      </c>
      <c r="D14" s="20">
        <f>D25</f>
        <v>1364512.4</v>
      </c>
    </row>
    <row r="15" spans="1:6" ht="20.149999999999999" customHeight="1" x14ac:dyDescent="0.4">
      <c r="A15" s="1" t="s">
        <v>47</v>
      </c>
      <c r="B15" s="10">
        <v>152260</v>
      </c>
      <c r="C15" s="10">
        <v>164820</v>
      </c>
      <c r="D15" s="20">
        <v>189715</v>
      </c>
    </row>
    <row r="16" spans="1:6" ht="20.149999999999999" customHeight="1" x14ac:dyDescent="0.4">
      <c r="A16" s="1" t="s">
        <v>46</v>
      </c>
      <c r="B16" s="10">
        <v>241910</v>
      </c>
      <c r="C16" s="10">
        <v>261900</v>
      </c>
      <c r="D16" s="20">
        <v>301465</v>
      </c>
    </row>
    <row r="17" spans="1:6" ht="20.149999999999999" customHeight="1" x14ac:dyDescent="0.4">
      <c r="A17" s="6" t="s">
        <v>45</v>
      </c>
      <c r="B17" s="12">
        <f>SUM(B13:B16)</f>
        <v>3770595</v>
      </c>
      <c r="C17" s="12">
        <f>SUM(C13:C16)</f>
        <v>4122005</v>
      </c>
      <c r="D17" s="21">
        <f>SUM(D13:D16)</f>
        <v>4731772.4000000004</v>
      </c>
    </row>
    <row r="18" spans="1:6" ht="20.149999999999999" customHeight="1" x14ac:dyDescent="0.4">
      <c r="B18" s="2"/>
      <c r="C18" s="2"/>
      <c r="D18" s="2"/>
    </row>
    <row r="19" spans="1:6" ht="20.149999999999999" customHeight="1" x14ac:dyDescent="0.4">
      <c r="A19" s="107" t="s">
        <v>64</v>
      </c>
      <c r="B19" s="107"/>
      <c r="C19" s="107"/>
      <c r="D19" s="107"/>
    </row>
    <row r="20" spans="1:6" ht="20.149999999999999" customHeight="1" x14ac:dyDescent="0.4">
      <c r="A20" s="9" t="s">
        <v>65</v>
      </c>
      <c r="B20" s="4" t="s">
        <v>40</v>
      </c>
      <c r="C20" s="4" t="s">
        <v>39</v>
      </c>
      <c r="D20" s="15" t="s">
        <v>38</v>
      </c>
    </row>
    <row r="21" spans="1:6" ht="20.149999999999999" customHeight="1" x14ac:dyDescent="0.4">
      <c r="A21" s="1" t="s">
        <v>44</v>
      </c>
      <c r="B21" s="16">
        <v>542720</v>
      </c>
      <c r="C21" s="16">
        <v>604345</v>
      </c>
      <c r="D21" s="17">
        <f>B48</f>
        <v>678405.79999999993</v>
      </c>
    </row>
    <row r="22" spans="1:6" ht="20.149999999999999" customHeight="1" x14ac:dyDescent="0.4">
      <c r="A22" s="1" t="s">
        <v>35</v>
      </c>
      <c r="B22" s="10">
        <v>187785</v>
      </c>
      <c r="C22" s="10">
        <v>214375</v>
      </c>
      <c r="D22" s="17">
        <f>C48</f>
        <v>274279</v>
      </c>
    </row>
    <row r="23" spans="1:6" ht="20.149999999999999" customHeight="1" x14ac:dyDescent="0.4">
      <c r="A23" s="1" t="s">
        <v>43</v>
      </c>
      <c r="B23" s="10">
        <v>184060</v>
      </c>
      <c r="C23" s="10">
        <v>195100</v>
      </c>
      <c r="D23" s="17">
        <f>D48</f>
        <v>216354</v>
      </c>
    </row>
    <row r="24" spans="1:6" ht="20.149999999999999" customHeight="1" x14ac:dyDescent="0.4">
      <c r="A24" s="1" t="s">
        <v>42</v>
      </c>
      <c r="B24" s="10">
        <v>153595</v>
      </c>
      <c r="C24" s="10">
        <v>182825</v>
      </c>
      <c r="D24" s="17">
        <f>E48</f>
        <v>195474.6</v>
      </c>
    </row>
    <row r="25" spans="1:6" ht="20.149999999999999" customHeight="1" x14ac:dyDescent="0.4">
      <c r="A25" s="6" t="s">
        <v>41</v>
      </c>
      <c r="B25" s="12">
        <v>1068160</v>
      </c>
      <c r="C25" s="12">
        <v>1196645</v>
      </c>
      <c r="D25" s="18">
        <f>F48</f>
        <v>1364512.4</v>
      </c>
    </row>
    <row r="26" spans="1:6" ht="20.149999999999999" customHeight="1" x14ac:dyDescent="0.4">
      <c r="B26" s="2"/>
      <c r="C26" s="2"/>
      <c r="D26" s="2"/>
    </row>
    <row r="27" spans="1:6" ht="20.149999999999999" customHeight="1" x14ac:dyDescent="0.4">
      <c r="A27" s="107" t="s">
        <v>37</v>
      </c>
      <c r="B27" s="107"/>
      <c r="C27" s="107"/>
      <c r="D27" s="107"/>
      <c r="E27" s="107"/>
      <c r="F27" s="107"/>
    </row>
    <row r="28" spans="1:6" ht="20.149999999999999" customHeight="1" x14ac:dyDescent="0.4">
      <c r="A28" s="9" t="s">
        <v>36</v>
      </c>
      <c r="B28" s="4" t="s">
        <v>26</v>
      </c>
      <c r="C28" s="4" t="s">
        <v>35</v>
      </c>
      <c r="D28" s="4" t="s">
        <v>34</v>
      </c>
      <c r="E28" s="4" t="s">
        <v>33</v>
      </c>
      <c r="F28" s="4" t="s">
        <v>32</v>
      </c>
    </row>
    <row r="29" spans="1:6" ht="20.149999999999999" customHeight="1" x14ac:dyDescent="0.4">
      <c r="A29" s="1" t="s">
        <v>31</v>
      </c>
    </row>
    <row r="30" spans="1:6" ht="20.149999999999999" customHeight="1" x14ac:dyDescent="0.4">
      <c r="A30" s="1" t="s">
        <v>30</v>
      </c>
      <c r="B30" s="10">
        <v>9450</v>
      </c>
      <c r="C30" s="10">
        <v>9450</v>
      </c>
      <c r="D30" s="10">
        <v>9450</v>
      </c>
      <c r="E30" s="10">
        <v>9450</v>
      </c>
      <c r="F30" s="10">
        <f>SUM(B30:E30)</f>
        <v>37800</v>
      </c>
    </row>
    <row r="31" spans="1:6" ht="20.149999999999999" customHeight="1" x14ac:dyDescent="0.4">
      <c r="A31" s="1" t="s">
        <v>29</v>
      </c>
      <c r="B31" s="10"/>
      <c r="C31" s="10"/>
      <c r="D31" s="10"/>
      <c r="E31" s="10">
        <v>33600</v>
      </c>
      <c r="F31" s="10">
        <f t="shared" ref="F31:F38" si="0">SUM(B31:E31)</f>
        <v>33600</v>
      </c>
    </row>
    <row r="32" spans="1:6" ht="20.149999999999999" customHeight="1" x14ac:dyDescent="0.4">
      <c r="A32" s="1" t="s">
        <v>28</v>
      </c>
      <c r="B32" s="10">
        <v>30200</v>
      </c>
      <c r="C32" s="10">
        <v>30200</v>
      </c>
      <c r="D32" s="10">
        <v>30200</v>
      </c>
      <c r="E32" s="10"/>
      <c r="F32" s="10">
        <f t="shared" si="0"/>
        <v>90600</v>
      </c>
    </row>
    <row r="33" spans="1:6" ht="20.149999999999999" customHeight="1" x14ac:dyDescent="0.4">
      <c r="A33" s="1" t="s">
        <v>27</v>
      </c>
      <c r="B33" s="10">
        <v>29375</v>
      </c>
      <c r="C33" s="10">
        <v>58750</v>
      </c>
      <c r="D33" s="10">
        <v>29375</v>
      </c>
      <c r="E33" s="10"/>
      <c r="F33" s="10">
        <f t="shared" si="0"/>
        <v>117500</v>
      </c>
    </row>
    <row r="34" spans="1:6" ht="20.149999999999999" customHeight="1" x14ac:dyDescent="0.4">
      <c r="A34" s="1" t="s">
        <v>26</v>
      </c>
      <c r="B34" s="10">
        <v>370688</v>
      </c>
      <c r="C34" s="10">
        <v>67781</v>
      </c>
      <c r="D34" s="10">
        <v>55781</v>
      </c>
      <c r="E34" s="10"/>
      <c r="F34" s="10">
        <f t="shared" si="0"/>
        <v>494250</v>
      </c>
    </row>
    <row r="35" spans="1:6" ht="20.149999999999999" customHeight="1" x14ac:dyDescent="0.4">
      <c r="A35" s="1" t="s">
        <v>25</v>
      </c>
      <c r="B35" s="10"/>
      <c r="C35" s="10"/>
      <c r="D35" s="10"/>
      <c r="E35" s="10">
        <v>24150</v>
      </c>
      <c r="F35" s="10">
        <f t="shared" si="0"/>
        <v>24150</v>
      </c>
    </row>
    <row r="36" spans="1:6" ht="20.149999999999999" customHeight="1" x14ac:dyDescent="0.4">
      <c r="A36" s="1" t="s">
        <v>24</v>
      </c>
      <c r="B36" s="10"/>
      <c r="C36" s="10"/>
      <c r="D36" s="10"/>
      <c r="E36" s="10">
        <v>22680</v>
      </c>
      <c r="F36" s="10">
        <f t="shared" si="0"/>
        <v>22680</v>
      </c>
    </row>
    <row r="37" spans="1:6" ht="20.149999999999999" customHeight="1" x14ac:dyDescent="0.4">
      <c r="A37" s="1" t="s">
        <v>23</v>
      </c>
      <c r="B37" s="10"/>
      <c r="C37" s="10"/>
      <c r="D37" s="10"/>
      <c r="E37" s="10">
        <v>19425</v>
      </c>
      <c r="F37" s="10">
        <f t="shared" si="0"/>
        <v>19425</v>
      </c>
    </row>
    <row r="38" spans="1:6" ht="20.149999999999999" customHeight="1" x14ac:dyDescent="0.4">
      <c r="A38" s="1" t="s">
        <v>22</v>
      </c>
      <c r="B38" s="10">
        <v>9420</v>
      </c>
      <c r="C38" s="10">
        <v>4710</v>
      </c>
      <c r="D38" s="10">
        <v>4710</v>
      </c>
      <c r="E38" s="10"/>
      <c r="F38" s="10">
        <f t="shared" si="0"/>
        <v>18840</v>
      </c>
    </row>
    <row r="39" spans="1:6" ht="20.149999999999999" customHeight="1" x14ac:dyDescent="0.4">
      <c r="A39" s="1" t="s">
        <v>21</v>
      </c>
      <c r="B39" s="10">
        <v>15799</v>
      </c>
      <c r="C39" s="10">
        <v>15799</v>
      </c>
      <c r="D39" s="10">
        <v>15799</v>
      </c>
      <c r="E39" s="10">
        <v>15799</v>
      </c>
      <c r="F39" s="10">
        <f>SUM(B39:E39)</f>
        <v>63196</v>
      </c>
    </row>
    <row r="40" spans="1:6" ht="20.149999999999999" customHeight="1" x14ac:dyDescent="0.4">
      <c r="A40" s="3" t="s">
        <v>20</v>
      </c>
      <c r="B40" s="11">
        <f>SUM(B29:B39)</f>
        <v>464932</v>
      </c>
      <c r="C40" s="11">
        <f t="shared" ref="C40:E40" si="1">SUM(C29:C39)</f>
        <v>186690</v>
      </c>
      <c r="D40" s="11">
        <f t="shared" si="1"/>
        <v>145315</v>
      </c>
      <c r="E40" s="11">
        <f t="shared" si="1"/>
        <v>125104</v>
      </c>
      <c r="F40" s="11">
        <f>SUM(F29:F39)</f>
        <v>922041</v>
      </c>
    </row>
    <row r="41" spans="1:6" ht="20.149999999999999" customHeight="1" x14ac:dyDescent="0.4">
      <c r="A41" s="1" t="s">
        <v>19</v>
      </c>
      <c r="B41" s="10">
        <f>0.05*B40</f>
        <v>23246.600000000002</v>
      </c>
      <c r="C41" s="10">
        <f>0.05*C40</f>
        <v>9334.5</v>
      </c>
      <c r="D41" s="10">
        <f>0.05*D40</f>
        <v>7265.75</v>
      </c>
      <c r="E41" s="10">
        <f>0.05*E40</f>
        <v>6255.2000000000007</v>
      </c>
      <c r="F41" s="10">
        <f>0.05*F40</f>
        <v>46102.05</v>
      </c>
    </row>
    <row r="42" spans="1:6" ht="20.149999999999999" customHeight="1" x14ac:dyDescent="0.4">
      <c r="A42" s="1" t="s">
        <v>59</v>
      </c>
      <c r="B42" s="10">
        <f>B40*0.35</f>
        <v>162726.19999999998</v>
      </c>
      <c r="C42" s="10">
        <f t="shared" ref="C42:F42" si="2">C40*0.35</f>
        <v>65341.499999999993</v>
      </c>
      <c r="D42" s="10">
        <f t="shared" si="2"/>
        <v>50860.25</v>
      </c>
      <c r="E42" s="10">
        <f t="shared" si="2"/>
        <v>43786.399999999994</v>
      </c>
      <c r="F42" s="10">
        <f t="shared" si="2"/>
        <v>322714.34999999998</v>
      </c>
    </row>
    <row r="43" spans="1:6" ht="20.149999999999999" customHeight="1" x14ac:dyDescent="0.4">
      <c r="A43" s="3" t="s">
        <v>18</v>
      </c>
      <c r="B43" s="11">
        <f>SUM(B40:B42)</f>
        <v>650904.79999999993</v>
      </c>
      <c r="C43" s="11">
        <f t="shared" ref="C43:F43" si="3">SUM(C40:C42)</f>
        <v>261366</v>
      </c>
      <c r="D43" s="11">
        <f t="shared" si="3"/>
        <v>203441</v>
      </c>
      <c r="E43" s="11">
        <f t="shared" si="3"/>
        <v>175145.60000000001</v>
      </c>
      <c r="F43" s="11">
        <f t="shared" si="3"/>
        <v>1290857.3999999999</v>
      </c>
    </row>
    <row r="44" spans="1:6" ht="20.149999999999999" customHeight="1" x14ac:dyDescent="0.4">
      <c r="A44" s="1" t="s">
        <v>17</v>
      </c>
      <c r="B44" s="10">
        <v>10413</v>
      </c>
      <c r="C44" s="10">
        <v>4165</v>
      </c>
      <c r="D44" s="10">
        <v>4165</v>
      </c>
      <c r="E44" s="10">
        <v>2083</v>
      </c>
      <c r="F44" s="10">
        <v>20825</v>
      </c>
    </row>
    <row r="45" spans="1:6" ht="20.149999999999999" customHeight="1" x14ac:dyDescent="0.4">
      <c r="A45" s="1" t="s">
        <v>16</v>
      </c>
      <c r="B45" s="10">
        <v>12113</v>
      </c>
      <c r="C45" s="10">
        <v>5483</v>
      </c>
      <c r="D45" s="10">
        <v>5483</v>
      </c>
      <c r="E45" s="10">
        <v>15551</v>
      </c>
      <c r="F45" s="10">
        <v>38630</v>
      </c>
    </row>
    <row r="46" spans="1:6" ht="20.149999999999999" customHeight="1" x14ac:dyDescent="0.4">
      <c r="A46" s="1" t="s">
        <v>15</v>
      </c>
      <c r="B46" s="10">
        <v>2125</v>
      </c>
      <c r="C46" s="10">
        <v>2125</v>
      </c>
      <c r="D46" s="10">
        <v>2125</v>
      </c>
      <c r="E46" s="10">
        <v>2125</v>
      </c>
      <c r="F46" s="10">
        <v>8500</v>
      </c>
    </row>
    <row r="47" spans="1:6" ht="20.149999999999999" customHeight="1" x14ac:dyDescent="0.4">
      <c r="A47" s="1" t="s">
        <v>14</v>
      </c>
      <c r="B47" s="10">
        <v>2850</v>
      </c>
      <c r="C47" s="10">
        <v>1140</v>
      </c>
      <c r="D47" s="10">
        <v>1140</v>
      </c>
      <c r="E47" s="10">
        <v>570</v>
      </c>
      <c r="F47" s="10">
        <v>5700</v>
      </c>
    </row>
    <row r="48" spans="1:6" ht="20.149999999999999" customHeight="1" x14ac:dyDescent="0.4">
      <c r="A48" s="6" t="s">
        <v>13</v>
      </c>
      <c r="B48" s="13">
        <f>SUM(B43:B47)</f>
        <v>678405.79999999993</v>
      </c>
      <c r="C48" s="13">
        <f t="shared" ref="C48:F48" si="4">SUM(C43:C47)</f>
        <v>274279</v>
      </c>
      <c r="D48" s="13">
        <f t="shared" si="4"/>
        <v>216354</v>
      </c>
      <c r="E48" s="13">
        <f t="shared" si="4"/>
        <v>195474.6</v>
      </c>
      <c r="F48" s="19">
        <f t="shared" si="4"/>
        <v>1364512.4</v>
      </c>
    </row>
  </sheetData>
  <mergeCells count="4">
    <mergeCell ref="A11:D11"/>
    <mergeCell ref="A19:D19"/>
    <mergeCell ref="A27:F27"/>
    <mergeCell ref="A1:F1"/>
  </mergeCells>
  <pageMargins left="0.7" right="0.7" top="0.75" bottom="0.75" header="0.3" footer="0.3"/>
  <pageSetup scale="7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9BA9-AC5F-4920-9CD4-3D31B4A323B4}">
  <sheetPr>
    <tabColor theme="3"/>
    <pageSetUpPr fitToPage="1"/>
  </sheetPr>
  <dimension ref="A1:E20"/>
  <sheetViews>
    <sheetView zoomScaleNormal="100" workbookViewId="0">
      <selection activeCell="G27" sqref="G27"/>
    </sheetView>
  </sheetViews>
  <sheetFormatPr defaultColWidth="20.69140625" defaultRowHeight="20.149999999999999" customHeight="1" x14ac:dyDescent="0.4"/>
  <cols>
    <col min="1" max="1" width="60.69140625" style="24" customWidth="1"/>
    <col min="2" max="16384" width="20.69140625" style="24"/>
  </cols>
  <sheetData>
    <row r="1" spans="1:5" ht="20.149999999999999" customHeight="1" x14ac:dyDescent="0.4">
      <c r="A1" s="106" t="s">
        <v>87</v>
      </c>
      <c r="B1" s="106"/>
      <c r="C1" s="106"/>
      <c r="D1" s="106"/>
      <c r="E1" s="42"/>
    </row>
    <row r="2" spans="1:5" ht="20.149999999999999" customHeight="1" x14ac:dyDescent="0.4">
      <c r="A2" s="35"/>
      <c r="B2" s="44" t="s">
        <v>86</v>
      </c>
      <c r="C2" s="44" t="s">
        <v>85</v>
      </c>
      <c r="D2" s="43" t="s">
        <v>84</v>
      </c>
    </row>
    <row r="3" spans="1:5" ht="20.149999999999999" customHeight="1" x14ac:dyDescent="0.4">
      <c r="A3" s="24" t="s">
        <v>83</v>
      </c>
      <c r="B3" s="42"/>
      <c r="C3" s="42"/>
    </row>
    <row r="4" spans="1:5" ht="20.149999999999999" customHeight="1" x14ac:dyDescent="0.4">
      <c r="A4" s="30" t="s">
        <v>82</v>
      </c>
      <c r="B4" s="29">
        <v>41000</v>
      </c>
      <c r="C4" s="29">
        <v>180000</v>
      </c>
      <c r="D4" s="29">
        <f>SUM(B4:C4)</f>
        <v>221000</v>
      </c>
    </row>
    <row r="5" spans="1:5" ht="20.149999999999999" customHeight="1" x14ac:dyDescent="0.4">
      <c r="A5" s="24" t="s">
        <v>81</v>
      </c>
      <c r="B5" s="28">
        <v>80</v>
      </c>
      <c r="C5" s="28">
        <v>185</v>
      </c>
      <c r="D5" s="28">
        <f>SUM(B5:C5)</f>
        <v>265</v>
      </c>
    </row>
    <row r="6" spans="1:5" ht="20.149999999999999" customHeight="1" x14ac:dyDescent="0.4">
      <c r="A6" s="34" t="s">
        <v>80</v>
      </c>
      <c r="B6" s="29">
        <f>B4/B5</f>
        <v>512.5</v>
      </c>
      <c r="C6" s="29">
        <f>C4/C5</f>
        <v>972.97297297297303</v>
      </c>
      <c r="D6" s="28"/>
    </row>
    <row r="7" spans="1:5" ht="20.149999999999999" customHeight="1" x14ac:dyDescent="0.4">
      <c r="A7" s="24" t="s">
        <v>79</v>
      </c>
      <c r="B7" s="28">
        <v>4</v>
      </c>
      <c r="C7" s="28">
        <v>5</v>
      </c>
      <c r="D7" s="28">
        <f>SUM(B7:C7)</f>
        <v>9</v>
      </c>
    </row>
    <row r="8" spans="1:5" ht="20.149999999999999" customHeight="1" x14ac:dyDescent="0.4">
      <c r="A8" s="27" t="s">
        <v>78</v>
      </c>
      <c r="B8" s="26">
        <v>225</v>
      </c>
      <c r="C8" s="26">
        <v>225</v>
      </c>
      <c r="D8" s="26"/>
    </row>
    <row r="9" spans="1:5" ht="20.149999999999999" customHeight="1" x14ac:dyDescent="0.4">
      <c r="A9" s="41" t="s">
        <v>77</v>
      </c>
      <c r="B9" s="40">
        <v>6250</v>
      </c>
      <c r="C9" s="40">
        <v>10200</v>
      </c>
      <c r="D9" s="39"/>
    </row>
    <row r="10" spans="1:5" ht="20.149999999999999" customHeight="1" x14ac:dyDescent="0.4">
      <c r="A10" s="34" t="s">
        <v>76</v>
      </c>
      <c r="B10" s="38"/>
      <c r="C10" s="38"/>
    </row>
    <row r="11" spans="1:5" ht="20.149999999999999" customHeight="1" x14ac:dyDescent="0.4">
      <c r="A11" s="30" t="s">
        <v>75</v>
      </c>
      <c r="B11" s="37">
        <f>B5/B7</f>
        <v>20</v>
      </c>
      <c r="C11" s="37">
        <f>C5/C7</f>
        <v>37</v>
      </c>
    </row>
    <row r="12" spans="1:5" ht="20.149999999999999" customHeight="1" x14ac:dyDescent="0.4">
      <c r="A12" s="27" t="s">
        <v>74</v>
      </c>
      <c r="B12" s="36">
        <v>25</v>
      </c>
      <c r="C12" s="36">
        <v>50</v>
      </c>
      <c r="D12" s="35"/>
    </row>
    <row r="13" spans="1:5" ht="20.149999999999999" customHeight="1" x14ac:dyDescent="0.4">
      <c r="A13" s="34" t="s">
        <v>73</v>
      </c>
      <c r="B13" s="29">
        <v>74000</v>
      </c>
      <c r="C13" s="29">
        <v>74000</v>
      </c>
      <c r="D13" s="29"/>
    </row>
    <row r="14" spans="1:5" ht="20.149999999999999" customHeight="1" x14ac:dyDescent="0.4">
      <c r="A14" s="34" t="s">
        <v>72</v>
      </c>
      <c r="B14" s="29"/>
      <c r="C14" s="29"/>
      <c r="D14" s="29">
        <v>96000</v>
      </c>
    </row>
    <row r="15" spans="1:5" ht="20.149999999999999" customHeight="1" x14ac:dyDescent="0.4">
      <c r="A15" s="34" t="s">
        <v>71</v>
      </c>
      <c r="B15" s="29"/>
      <c r="C15" s="29"/>
      <c r="D15" s="29">
        <v>61000</v>
      </c>
    </row>
    <row r="16" spans="1:5" ht="20.149999999999999" customHeight="1" x14ac:dyDescent="0.4">
      <c r="A16" s="33" t="s">
        <v>70</v>
      </c>
      <c r="B16" s="32"/>
      <c r="C16" s="31"/>
      <c r="D16" s="31"/>
    </row>
    <row r="17" spans="1:4" ht="20.149999999999999" customHeight="1" x14ac:dyDescent="0.4">
      <c r="A17" s="30" t="s">
        <v>69</v>
      </c>
      <c r="B17" s="29">
        <v>6250</v>
      </c>
      <c r="C17" s="29">
        <v>9750</v>
      </c>
      <c r="D17" s="28"/>
    </row>
    <row r="18" spans="1:4" ht="20.149999999999999" customHeight="1" x14ac:dyDescent="0.4">
      <c r="A18" s="30" t="s">
        <v>68</v>
      </c>
      <c r="B18" s="29">
        <v>725</v>
      </c>
      <c r="C18" s="29">
        <v>1100</v>
      </c>
      <c r="D18" s="28"/>
    </row>
    <row r="19" spans="1:4" ht="20.149999999999999" customHeight="1" x14ac:dyDescent="0.4">
      <c r="A19" s="27" t="s">
        <v>67</v>
      </c>
      <c r="B19" s="26">
        <v>12</v>
      </c>
      <c r="C19" s="26">
        <v>12</v>
      </c>
      <c r="D19" s="26"/>
    </row>
    <row r="20" spans="1:4" ht="20.149999999999999" customHeight="1" x14ac:dyDescent="0.4">
      <c r="A20" s="27" t="s">
        <v>66</v>
      </c>
      <c r="B20" s="26"/>
      <c r="C20" s="26"/>
      <c r="D20" s="25">
        <v>210000</v>
      </c>
    </row>
  </sheetData>
  <sheetProtection sheet="1" objects="1" scenarios="1"/>
  <mergeCells count="1">
    <mergeCell ref="A1:D1"/>
  </mergeCells>
  <pageMargins left="0.7" right="0.7" top="0.75" bottom="0.75" header="0.3" footer="0.3"/>
  <pageSetup scale="99" orientation="landscape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9E91-0DC9-4D68-ADC4-2807B5AE9255}">
  <sheetPr>
    <tabColor theme="3"/>
    <pageSetUpPr fitToPage="1"/>
  </sheetPr>
  <dimension ref="A1:G27"/>
  <sheetViews>
    <sheetView workbookViewId="0">
      <selection activeCell="H66" sqref="H66"/>
    </sheetView>
  </sheetViews>
  <sheetFormatPr defaultColWidth="20.69140625" defaultRowHeight="20.149999999999999" customHeight="1" x14ac:dyDescent="0.4"/>
  <cols>
    <col min="1" max="1" width="45.69140625" style="45" customWidth="1"/>
    <col min="2" max="16384" width="20.69140625" style="45"/>
  </cols>
  <sheetData>
    <row r="1" spans="1:7" ht="20.149999999999999" customHeight="1" x14ac:dyDescent="0.4">
      <c r="A1" s="109" t="s">
        <v>116</v>
      </c>
      <c r="B1" s="110"/>
      <c r="C1" s="110"/>
      <c r="D1" s="110"/>
      <c r="E1" s="110"/>
      <c r="F1" s="110"/>
      <c r="G1" s="111"/>
    </row>
    <row r="2" spans="1:7" ht="20.149999999999999" customHeight="1" x14ac:dyDescent="0.4">
      <c r="A2" s="82"/>
      <c r="B2" s="112" t="s">
        <v>115</v>
      </c>
      <c r="C2" s="113"/>
      <c r="D2" s="114"/>
      <c r="E2" s="112" t="s">
        <v>114</v>
      </c>
      <c r="F2" s="113"/>
      <c r="G2" s="114"/>
    </row>
    <row r="3" spans="1:7" ht="20.149999999999999" customHeight="1" x14ac:dyDescent="0.4">
      <c r="A3" s="49"/>
      <c r="B3" s="81" t="s">
        <v>113</v>
      </c>
      <c r="C3" s="80" t="s">
        <v>112</v>
      </c>
      <c r="D3" s="79" t="s">
        <v>45</v>
      </c>
      <c r="E3" s="81" t="s">
        <v>113</v>
      </c>
      <c r="F3" s="80" t="s">
        <v>112</v>
      </c>
      <c r="G3" s="79" t="s">
        <v>45</v>
      </c>
    </row>
    <row r="4" spans="1:7" ht="20.149999999999999" customHeight="1" x14ac:dyDescent="0.4">
      <c r="A4" s="63" t="s">
        <v>111</v>
      </c>
      <c r="B4" s="78"/>
      <c r="D4" s="77"/>
      <c r="E4" s="78"/>
      <c r="G4" s="77"/>
    </row>
    <row r="5" spans="1:7" ht="20.149999999999999" customHeight="1" x14ac:dyDescent="0.4">
      <c r="A5" s="76" t="s">
        <v>110</v>
      </c>
      <c r="B5" s="68">
        <f>'HRD Parameters'!B5</f>
        <v>80</v>
      </c>
      <c r="C5" s="67">
        <f>'HRD Parameters'!C5</f>
        <v>185</v>
      </c>
      <c r="D5" s="62">
        <f>SUM(B5:C5)</f>
        <v>265</v>
      </c>
      <c r="E5" s="68">
        <f>B5</f>
        <v>80</v>
      </c>
      <c r="F5" s="67">
        <f>C5</f>
        <v>185</v>
      </c>
      <c r="G5" s="62">
        <f>SUM(E5:F5)</f>
        <v>265</v>
      </c>
    </row>
    <row r="6" spans="1:7" ht="20.149999999999999" customHeight="1" x14ac:dyDescent="0.4">
      <c r="A6" s="57" t="s">
        <v>109</v>
      </c>
      <c r="B6" s="75">
        <f>B5/($B5+$C5)</f>
        <v>0.30188679245283018</v>
      </c>
      <c r="C6" s="74">
        <f>C5/($B5+$C5)</f>
        <v>0.69811320754716977</v>
      </c>
      <c r="D6" s="73">
        <f>D5/($B5+$C5)</f>
        <v>1</v>
      </c>
      <c r="E6" s="75">
        <f>E5/($E5+$F5)</f>
        <v>0.30188679245283018</v>
      </c>
      <c r="F6" s="74">
        <f>F5/($E5+$F5)</f>
        <v>0.69811320754716977</v>
      </c>
      <c r="G6" s="73">
        <f>G5/($E5+$F5)</f>
        <v>1</v>
      </c>
    </row>
    <row r="7" spans="1:7" ht="20.149999999999999" customHeight="1" x14ac:dyDescent="0.4">
      <c r="A7" s="57" t="s">
        <v>108</v>
      </c>
      <c r="B7" s="72">
        <f>B5/'HRD Parameters'!B$11</f>
        <v>4</v>
      </c>
      <c r="C7" s="71">
        <f>C5/'HRD Parameters'!C$11</f>
        <v>5</v>
      </c>
      <c r="D7" s="70">
        <f>SUM(B7:C7)</f>
        <v>9</v>
      </c>
      <c r="E7" s="72">
        <f>ROUNDUP(E5/'HRD Parameters'!B$12,0)</f>
        <v>4</v>
      </c>
      <c r="F7" s="71">
        <f>ROUNDUP(F5/'HRD Parameters'!C$12,0)</f>
        <v>4</v>
      </c>
      <c r="G7" s="70">
        <f>SUM(E7:F7)</f>
        <v>8</v>
      </c>
    </row>
    <row r="8" spans="1:7" ht="20.149999999999999" customHeight="1" x14ac:dyDescent="0.4">
      <c r="A8" s="49" t="s">
        <v>107</v>
      </c>
      <c r="B8" s="66">
        <f>B7/D7</f>
        <v>0.44444444444444442</v>
      </c>
      <c r="C8" s="65">
        <f>C7/D7</f>
        <v>0.55555555555555558</v>
      </c>
      <c r="D8" s="64">
        <f>SUM(B8:C8)</f>
        <v>1</v>
      </c>
      <c r="E8" s="66">
        <f>E7/G7</f>
        <v>0.5</v>
      </c>
      <c r="F8" s="65">
        <f>F7/G7</f>
        <v>0.5</v>
      </c>
      <c r="G8" s="64">
        <f>SUM(E8:F8)</f>
        <v>1</v>
      </c>
    </row>
    <row r="9" spans="1:7" ht="20.149999999999999" customHeight="1" x14ac:dyDescent="0.4">
      <c r="A9" s="69" t="s">
        <v>106</v>
      </c>
      <c r="B9" s="68"/>
      <c r="C9" s="67"/>
      <c r="D9" s="62"/>
      <c r="E9" s="68"/>
      <c r="F9" s="67"/>
      <c r="G9" s="62"/>
    </row>
    <row r="10" spans="1:7" ht="20.149999999999999" customHeight="1" x14ac:dyDescent="0.4">
      <c r="A10" s="56" t="s">
        <v>105</v>
      </c>
      <c r="B10" s="55">
        <f>'HRD Parameters'!B13*'HRD Budget'!B7</f>
        <v>296000</v>
      </c>
      <c r="C10" s="54">
        <f>'HRD Parameters'!C13*'HRD Budget'!C7</f>
        <v>370000</v>
      </c>
      <c r="D10" s="53">
        <f>SUM(B10:C10)</f>
        <v>666000</v>
      </c>
      <c r="E10" s="55">
        <f>E7*'HRD Parameters'!B13</f>
        <v>296000</v>
      </c>
      <c r="F10" s="54">
        <f>'HRD Parameters'!C13*'HRD Budget'!F7</f>
        <v>296000</v>
      </c>
      <c r="G10" s="53">
        <f>SUM(E10:F10)</f>
        <v>592000</v>
      </c>
    </row>
    <row r="11" spans="1:7" ht="20.149999999999999" customHeight="1" x14ac:dyDescent="0.4">
      <c r="A11" s="56" t="s">
        <v>104</v>
      </c>
      <c r="B11" s="55">
        <f>B5*'HRD Parameters'!B$6</f>
        <v>41000</v>
      </c>
      <c r="C11" s="54">
        <f>C5*'HRD Parameters'!C$6</f>
        <v>180000</v>
      </c>
      <c r="D11" s="53">
        <f>SUM(B11:C11)</f>
        <v>221000</v>
      </c>
      <c r="E11" s="55">
        <f>E5*'HRD Parameters'!B$6</f>
        <v>41000</v>
      </c>
      <c r="F11" s="54">
        <f>F5*'HRD Parameters'!C$6</f>
        <v>180000</v>
      </c>
      <c r="G11" s="53">
        <f>SUM(E11:F11)</f>
        <v>221000</v>
      </c>
    </row>
    <row r="12" spans="1:7" ht="20.149999999999999" customHeight="1" x14ac:dyDescent="0.4">
      <c r="A12" s="56" t="s">
        <v>103</v>
      </c>
      <c r="B12" s="55">
        <f>'HRD Parameters'!B17*'HRD Parameters'!B19</f>
        <v>75000</v>
      </c>
      <c r="C12" s="54">
        <f>'HRD Parameters'!C17*'HRD Parameters'!C19</f>
        <v>117000</v>
      </c>
      <c r="D12" s="53">
        <f>SUM(B12:C12)</f>
        <v>192000</v>
      </c>
      <c r="E12" s="55">
        <f>'HRD Parameters'!B17*'HRD Parameters'!B19</f>
        <v>75000</v>
      </c>
      <c r="F12" s="54">
        <f>'HRD Parameters'!C17*'HRD Parameters'!C19</f>
        <v>117000</v>
      </c>
      <c r="G12" s="53">
        <f>SUM(E12:F12)</f>
        <v>192000</v>
      </c>
    </row>
    <row r="13" spans="1:7" ht="20.149999999999999" customHeight="1" x14ac:dyDescent="0.4">
      <c r="A13" s="57" t="s">
        <v>102</v>
      </c>
      <c r="B13" s="55">
        <f>B5*'HRD Parameters'!B$18</f>
        <v>58000</v>
      </c>
      <c r="C13" s="54">
        <f>C5*'HRD Parameters'!C$18</f>
        <v>203500</v>
      </c>
      <c r="D13" s="53">
        <f>SUM(B13:C13)</f>
        <v>261500</v>
      </c>
      <c r="E13" s="55">
        <f>E5*'HRD Parameters'!B$18</f>
        <v>58000</v>
      </c>
      <c r="F13" s="54">
        <f>F5*'HRD Parameters'!C$18</f>
        <v>203500</v>
      </c>
      <c r="G13" s="53">
        <f>SUM(E13:F13)</f>
        <v>261500</v>
      </c>
    </row>
    <row r="14" spans="1:7" ht="20.149999999999999" customHeight="1" x14ac:dyDescent="0.4">
      <c r="A14" s="58" t="s">
        <v>101</v>
      </c>
      <c r="B14" s="52">
        <f t="shared" ref="B14:G14" si="0">SUM(B10:B13)</f>
        <v>470000</v>
      </c>
      <c r="C14" s="51">
        <f t="shared" si="0"/>
        <v>870500</v>
      </c>
      <c r="D14" s="50">
        <f t="shared" si="0"/>
        <v>1340500</v>
      </c>
      <c r="E14" s="52">
        <f t="shared" si="0"/>
        <v>470000</v>
      </c>
      <c r="F14" s="51">
        <f t="shared" si="0"/>
        <v>796500</v>
      </c>
      <c r="G14" s="50">
        <f t="shared" si="0"/>
        <v>1266500</v>
      </c>
    </row>
    <row r="15" spans="1:7" ht="20.149999999999999" customHeight="1" x14ac:dyDescent="0.4">
      <c r="A15" s="57" t="s">
        <v>100</v>
      </c>
      <c r="B15" s="55">
        <f t="shared" ref="B15:G15" si="1">B14/B$5</f>
        <v>5875</v>
      </c>
      <c r="C15" s="54">
        <f t="shared" si="1"/>
        <v>4705.405405405405</v>
      </c>
      <c r="D15" s="53">
        <f t="shared" si="1"/>
        <v>5058.4905660377362</v>
      </c>
      <c r="E15" s="55">
        <f t="shared" si="1"/>
        <v>5875</v>
      </c>
      <c r="F15" s="54">
        <f t="shared" si="1"/>
        <v>4305.405405405405</v>
      </c>
      <c r="G15" s="53">
        <f t="shared" si="1"/>
        <v>4779.2452830188677</v>
      </c>
    </row>
    <row r="16" spans="1:7" ht="20.149999999999999" customHeight="1" x14ac:dyDescent="0.4">
      <c r="A16" s="49" t="s">
        <v>99</v>
      </c>
      <c r="B16" s="66">
        <f>B14/($B14+$C14)</f>
        <v>0.35061544199925399</v>
      </c>
      <c r="C16" s="65">
        <f>C14/($B14+$C14)</f>
        <v>0.64938455800074601</v>
      </c>
      <c r="D16" s="64">
        <f>SUM(B16:C16)</f>
        <v>1</v>
      </c>
      <c r="E16" s="66">
        <f>E14/($E14+$F14)</f>
        <v>0.37110146071851557</v>
      </c>
      <c r="F16" s="65">
        <f>F14/($E14+$F14)</f>
        <v>0.62889853928148443</v>
      </c>
      <c r="G16" s="64">
        <f>SUM(E16:F16)</f>
        <v>1</v>
      </c>
    </row>
    <row r="17" spans="1:7" ht="20.149999999999999" customHeight="1" x14ac:dyDescent="0.4">
      <c r="A17" s="63" t="s">
        <v>98</v>
      </c>
      <c r="B17" s="55"/>
      <c r="C17" s="54"/>
      <c r="D17" s="62"/>
      <c r="E17" s="55"/>
      <c r="F17" s="54"/>
      <c r="G17" s="62"/>
    </row>
    <row r="18" spans="1:7" ht="20.149999999999999" customHeight="1" x14ac:dyDescent="0.4">
      <c r="A18" s="56" t="s">
        <v>97</v>
      </c>
      <c r="B18" s="55">
        <f>'HRD Parameters'!$D14*B8</f>
        <v>42666.666666666664</v>
      </c>
      <c r="C18" s="54">
        <f>'HRD Parameters'!$D14*C8</f>
        <v>53333.333333333336</v>
      </c>
      <c r="D18" s="53">
        <f>SUM(B18:C18)</f>
        <v>96000</v>
      </c>
      <c r="E18" s="55">
        <f>'HRD Parameters'!$D14*'HRD Budget'!E$8</f>
        <v>48000</v>
      </c>
      <c r="F18" s="54">
        <f>'HRD Parameters'!$D14*'HRD Budget'!F$8</f>
        <v>48000</v>
      </c>
      <c r="G18" s="53">
        <f>SUM(E18:F18)</f>
        <v>96000</v>
      </c>
    </row>
    <row r="19" spans="1:7" ht="20.149999999999999" customHeight="1" x14ac:dyDescent="0.4">
      <c r="A19" s="56" t="s">
        <v>96</v>
      </c>
      <c r="B19" s="55">
        <f>'HRD Parameters'!$D15*B8</f>
        <v>27111.111111111109</v>
      </c>
      <c r="C19" s="54">
        <f>'HRD Parameters'!$D15*C8</f>
        <v>33888.888888888891</v>
      </c>
      <c r="D19" s="53">
        <f>SUM(B19:C19)</f>
        <v>61000</v>
      </c>
      <c r="E19" s="55">
        <f>'HRD Parameters'!$D15*'HRD Budget'!E$8</f>
        <v>30500</v>
      </c>
      <c r="F19" s="54">
        <f>'HRD Parameters'!$D15*'HRD Budget'!F$8</f>
        <v>30500</v>
      </c>
      <c r="G19" s="53">
        <f>SUM(E19:F19)</f>
        <v>61000</v>
      </c>
    </row>
    <row r="20" spans="1:7" ht="20.149999999999999" customHeight="1" x14ac:dyDescent="0.4">
      <c r="A20" s="56" t="s">
        <v>95</v>
      </c>
      <c r="B20" s="55">
        <f>'HRD Parameters'!$D20*B6</f>
        <v>63396.226415094337</v>
      </c>
      <c r="C20" s="54">
        <f>'HRD Parameters'!$D20*C6</f>
        <v>146603.77358490566</v>
      </c>
      <c r="D20" s="53">
        <f>SUM(B20:C20)</f>
        <v>210000</v>
      </c>
      <c r="E20" s="55">
        <f>'HRD Parameters'!$D20*E6</f>
        <v>63396.226415094337</v>
      </c>
      <c r="F20" s="54">
        <f>'HRD Parameters'!$D20*F6</f>
        <v>146603.77358490566</v>
      </c>
      <c r="G20" s="53">
        <f>SUM(E20:F20)</f>
        <v>210000</v>
      </c>
    </row>
    <row r="21" spans="1:7" ht="20.149999999999999" customHeight="1" x14ac:dyDescent="0.4">
      <c r="A21" s="58" t="s">
        <v>94</v>
      </c>
      <c r="B21" s="52">
        <f t="shared" ref="B21:G21" si="2">B18+B19+B20</f>
        <v>133174.00419287212</v>
      </c>
      <c r="C21" s="51">
        <f t="shared" si="2"/>
        <v>233825.99580712788</v>
      </c>
      <c r="D21" s="50">
        <f t="shared" si="2"/>
        <v>367000</v>
      </c>
      <c r="E21" s="52">
        <f t="shared" si="2"/>
        <v>141896.22641509434</v>
      </c>
      <c r="F21" s="51">
        <f t="shared" si="2"/>
        <v>225103.77358490566</v>
      </c>
      <c r="G21" s="50">
        <f t="shared" si="2"/>
        <v>367000</v>
      </c>
    </row>
    <row r="22" spans="1:7" ht="20.149999999999999" customHeight="1" x14ac:dyDescent="0.4">
      <c r="A22" s="49" t="s">
        <v>93</v>
      </c>
      <c r="B22" s="61">
        <f t="shared" ref="B22:G22" si="3">B21/B$5</f>
        <v>1664.6750524109016</v>
      </c>
      <c r="C22" s="60">
        <f t="shared" si="3"/>
        <v>1263.9243016601506</v>
      </c>
      <c r="D22" s="59">
        <f t="shared" si="3"/>
        <v>1384.9056603773586</v>
      </c>
      <c r="E22" s="61">
        <f t="shared" si="3"/>
        <v>1773.7028301886792</v>
      </c>
      <c r="F22" s="60">
        <f t="shared" si="3"/>
        <v>1216.7771545130036</v>
      </c>
      <c r="G22" s="59">
        <f t="shared" si="3"/>
        <v>1384.9056603773586</v>
      </c>
    </row>
    <row r="23" spans="1:7" ht="20.149999999999999" customHeight="1" x14ac:dyDescent="0.4">
      <c r="A23" s="58" t="s">
        <v>92</v>
      </c>
      <c r="B23" s="52">
        <f t="shared" ref="B23:G23" si="4">B21+B14</f>
        <v>603174.00419287209</v>
      </c>
      <c r="C23" s="51">
        <f t="shared" si="4"/>
        <v>1104325.9958071278</v>
      </c>
      <c r="D23" s="50">
        <f t="shared" si="4"/>
        <v>1707500</v>
      </c>
      <c r="E23" s="52">
        <f t="shared" si="4"/>
        <v>611896.22641509434</v>
      </c>
      <c r="F23" s="51">
        <f t="shared" si="4"/>
        <v>1021603.7735849057</v>
      </c>
      <c r="G23" s="50">
        <f t="shared" si="4"/>
        <v>1633500</v>
      </c>
    </row>
    <row r="24" spans="1:7" ht="20.149999999999999" customHeight="1" x14ac:dyDescent="0.4">
      <c r="A24" s="57" t="s">
        <v>91</v>
      </c>
      <c r="B24" s="55">
        <f t="shared" ref="B24:G24" si="5">B23/B$5</f>
        <v>7539.6750524109011</v>
      </c>
      <c r="C24" s="54">
        <f t="shared" si="5"/>
        <v>5969.3297070655553</v>
      </c>
      <c r="D24" s="53">
        <f t="shared" si="5"/>
        <v>6443.3962264150941</v>
      </c>
      <c r="E24" s="55">
        <f t="shared" si="5"/>
        <v>7648.7028301886794</v>
      </c>
      <c r="F24" s="54">
        <f t="shared" si="5"/>
        <v>5522.1825599184094</v>
      </c>
      <c r="G24" s="53">
        <f t="shared" si="5"/>
        <v>6164.1509433962265</v>
      </c>
    </row>
    <row r="25" spans="1:7" ht="20.149999999999999" customHeight="1" x14ac:dyDescent="0.4">
      <c r="A25" s="56" t="s">
        <v>90</v>
      </c>
      <c r="B25" s="55">
        <f>B5*'HRD Parameters'!B9</f>
        <v>500000</v>
      </c>
      <c r="C25" s="54">
        <f>C5*'HRD Parameters'!C9</f>
        <v>1887000</v>
      </c>
      <c r="D25" s="53">
        <f>SUM(B25:C25)</f>
        <v>2387000</v>
      </c>
      <c r="E25" s="52">
        <f>E5*'HRD Parameters'!B9</f>
        <v>500000</v>
      </c>
      <c r="F25" s="51">
        <f>F5*'HRD Parameters'!C9</f>
        <v>1887000</v>
      </c>
      <c r="G25" s="50">
        <f>SUM(E25:F25)</f>
        <v>2387000</v>
      </c>
    </row>
    <row r="26" spans="1:7" ht="20.149999999999999" customHeight="1" x14ac:dyDescent="0.4">
      <c r="A26" s="56" t="s">
        <v>89</v>
      </c>
      <c r="B26" s="55">
        <f t="shared" ref="B26:G26" si="6">+B25-B23</f>
        <v>-103174.00419287209</v>
      </c>
      <c r="C26" s="54">
        <f t="shared" si="6"/>
        <v>782674.00419287221</v>
      </c>
      <c r="D26" s="53">
        <f t="shared" si="6"/>
        <v>679500</v>
      </c>
      <c r="E26" s="52">
        <f t="shared" si="6"/>
        <v>-111896.22641509434</v>
      </c>
      <c r="F26" s="51">
        <f t="shared" si="6"/>
        <v>865396.22641509434</v>
      </c>
      <c r="G26" s="50">
        <f t="shared" si="6"/>
        <v>753500</v>
      </c>
    </row>
    <row r="27" spans="1:7" ht="20.149999999999999" customHeight="1" x14ac:dyDescent="0.4">
      <c r="A27" s="49" t="s">
        <v>88</v>
      </c>
      <c r="B27" s="48">
        <f t="shared" ref="B27:G27" si="7">+B26/B5</f>
        <v>-1289.6750524109011</v>
      </c>
      <c r="C27" s="47">
        <f t="shared" si="7"/>
        <v>4230.6702929344447</v>
      </c>
      <c r="D27" s="46">
        <f t="shared" si="7"/>
        <v>2564.1509433962265</v>
      </c>
      <c r="E27" s="48">
        <f t="shared" si="7"/>
        <v>-1398.7028301886792</v>
      </c>
      <c r="F27" s="47">
        <f t="shared" si="7"/>
        <v>4677.8174400815906</v>
      </c>
      <c r="G27" s="46">
        <f t="shared" si="7"/>
        <v>2843.3962264150941</v>
      </c>
    </row>
  </sheetData>
  <sheetProtection sheet="1" objects="1" scenarios="1"/>
  <mergeCells count="3">
    <mergeCell ref="A1:G1"/>
    <mergeCell ref="B2:D2"/>
    <mergeCell ref="E2:G2"/>
  </mergeCells>
  <pageMargins left="0.7" right="0.7" top="0.75" bottom="0.75" header="0.3" footer="0.3"/>
  <pageSetup scale="73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1E70-5A94-4CB5-986E-B86DB84A5385}">
  <sheetPr>
    <tabColor rgb="FF00B050"/>
    <pageSetUpPr fitToPage="1"/>
  </sheetPr>
  <dimension ref="A1:G75"/>
  <sheetViews>
    <sheetView topLeftCell="A4" zoomScaleNormal="100" workbookViewId="0">
      <selection activeCell="H66" sqref="H66"/>
    </sheetView>
  </sheetViews>
  <sheetFormatPr defaultColWidth="15.69140625" defaultRowHeight="18" customHeight="1" x14ac:dyDescent="0.4"/>
  <cols>
    <col min="1" max="1" width="15.69140625" style="84"/>
    <col min="2" max="16384" width="15.69140625" style="83"/>
  </cols>
  <sheetData>
    <row r="1" spans="1:7" ht="18" customHeight="1" thickBot="1" x14ac:dyDescent="0.45">
      <c r="A1" s="96" t="s">
        <v>142</v>
      </c>
    </row>
    <row r="2" spans="1:7" ht="18" customHeight="1" thickTop="1" x14ac:dyDescent="0.4">
      <c r="A2" s="115" t="s">
        <v>122</v>
      </c>
      <c r="B2" s="117" t="s">
        <v>141</v>
      </c>
      <c r="C2" s="117" t="s">
        <v>140</v>
      </c>
      <c r="D2" s="117"/>
      <c r="E2" s="119" t="s">
        <v>139</v>
      </c>
      <c r="F2" s="117">
        <v>2018</v>
      </c>
      <c r="G2" s="117"/>
    </row>
    <row r="3" spans="1:7" ht="18" customHeight="1" x14ac:dyDescent="0.4">
      <c r="A3" s="116"/>
      <c r="B3" s="118"/>
      <c r="C3" s="105" t="s">
        <v>138</v>
      </c>
      <c r="D3" s="105" t="s">
        <v>137</v>
      </c>
      <c r="E3" s="120"/>
      <c r="F3" s="105" t="s">
        <v>136</v>
      </c>
      <c r="G3" s="105" t="s">
        <v>135</v>
      </c>
    </row>
    <row r="4" spans="1:7" ht="18" customHeight="1" x14ac:dyDescent="0.4">
      <c r="A4" s="84" t="s">
        <v>30</v>
      </c>
      <c r="B4" s="83">
        <v>0.6</v>
      </c>
      <c r="C4" s="104">
        <v>74720</v>
      </c>
      <c r="D4" s="104">
        <v>78652</v>
      </c>
      <c r="E4" s="83">
        <v>8</v>
      </c>
      <c r="F4" s="83">
        <v>8</v>
      </c>
      <c r="G4" s="83">
        <v>8</v>
      </c>
    </row>
    <row r="5" spans="1:7" ht="18" customHeight="1" x14ac:dyDescent="0.4">
      <c r="A5" s="84" t="s">
        <v>118</v>
      </c>
      <c r="B5" s="83">
        <v>0.5</v>
      </c>
      <c r="C5" s="104">
        <v>65309</v>
      </c>
      <c r="D5" s="104">
        <v>68747</v>
      </c>
      <c r="E5" s="83">
        <v>20</v>
      </c>
      <c r="F5" s="83">
        <v>20</v>
      </c>
      <c r="G5" s="83">
        <v>20</v>
      </c>
    </row>
    <row r="6" spans="1:7" ht="18" customHeight="1" thickBot="1" x14ac:dyDescent="0.45">
      <c r="A6" s="90" t="s">
        <v>121</v>
      </c>
      <c r="B6" s="100">
        <v>0.4</v>
      </c>
      <c r="C6" s="103">
        <v>44467</v>
      </c>
      <c r="D6" s="103">
        <v>63297</v>
      </c>
      <c r="E6" s="100">
        <v>119</v>
      </c>
      <c r="F6" s="100">
        <v>119</v>
      </c>
      <c r="G6" s="100">
        <v>119</v>
      </c>
    </row>
    <row r="7" spans="1:7" ht="18" customHeight="1" thickTop="1" x14ac:dyDescent="0.4"/>
    <row r="8" spans="1:7" ht="18" customHeight="1" thickBot="1" x14ac:dyDescent="0.45">
      <c r="A8" s="96" t="s">
        <v>134</v>
      </c>
    </row>
    <row r="9" spans="1:7" ht="18" customHeight="1" thickTop="1" x14ac:dyDescent="0.4">
      <c r="A9" s="95" t="s">
        <v>122</v>
      </c>
      <c r="B9" s="94" t="s">
        <v>133</v>
      </c>
      <c r="C9" s="94" t="s">
        <v>132</v>
      </c>
      <c r="D9" s="94" t="s">
        <v>131</v>
      </c>
      <c r="E9" s="94" t="s">
        <v>130</v>
      </c>
      <c r="F9" s="94" t="s">
        <v>129</v>
      </c>
      <c r="G9" s="94" t="s">
        <v>45</v>
      </c>
    </row>
    <row r="10" spans="1:7" ht="18" customHeight="1" x14ac:dyDescent="0.4">
      <c r="A10" s="84" t="s">
        <v>121</v>
      </c>
      <c r="B10" s="91">
        <v>10</v>
      </c>
      <c r="C10" s="91">
        <v>20</v>
      </c>
      <c r="D10" s="91">
        <v>20</v>
      </c>
      <c r="E10" s="91">
        <v>30</v>
      </c>
      <c r="F10" s="91">
        <v>39</v>
      </c>
      <c r="G10" s="91">
        <f>SUM(B10:F10)</f>
        <v>119</v>
      </c>
    </row>
    <row r="11" spans="1:7" ht="18" customHeight="1" x14ac:dyDescent="0.4">
      <c r="A11" s="93"/>
      <c r="B11" s="91" t="s">
        <v>120</v>
      </c>
      <c r="C11" s="91" t="s">
        <v>119</v>
      </c>
      <c r="D11" s="91" t="s">
        <v>45</v>
      </c>
      <c r="E11" s="91"/>
      <c r="F11" s="91"/>
      <c r="G11" s="91"/>
    </row>
    <row r="12" spans="1:7" ht="18" customHeight="1" x14ac:dyDescent="0.4">
      <c r="A12" s="84" t="s">
        <v>30</v>
      </c>
      <c r="B12" s="91">
        <v>2</v>
      </c>
      <c r="C12" s="91">
        <v>6</v>
      </c>
      <c r="D12" s="91">
        <f>SUM(B12:C12)</f>
        <v>8</v>
      </c>
      <c r="E12" s="91"/>
      <c r="F12" s="91"/>
      <c r="G12" s="91"/>
    </row>
    <row r="13" spans="1:7" ht="18" customHeight="1" thickBot="1" x14ac:dyDescent="0.45">
      <c r="A13" s="90" t="s">
        <v>118</v>
      </c>
      <c r="B13" s="88">
        <v>6</v>
      </c>
      <c r="C13" s="88">
        <v>14</v>
      </c>
      <c r="D13" s="88">
        <f>SUM(B13:C13)</f>
        <v>20</v>
      </c>
      <c r="E13" s="88"/>
      <c r="F13" s="88"/>
      <c r="G13" s="88"/>
    </row>
    <row r="14" spans="1:7" ht="18" customHeight="1" thickTop="1" x14ac:dyDescent="0.4"/>
    <row r="15" spans="1:7" ht="18" customHeight="1" x14ac:dyDescent="0.4">
      <c r="A15" s="87" t="s">
        <v>128</v>
      </c>
    </row>
    <row r="16" spans="1:7" ht="18" customHeight="1" thickBot="1" x14ac:dyDescent="0.45">
      <c r="A16" s="96" t="s">
        <v>126</v>
      </c>
    </row>
    <row r="17" spans="1:7" ht="18" customHeight="1" thickTop="1" x14ac:dyDescent="0.4">
      <c r="A17" s="95" t="s">
        <v>122</v>
      </c>
      <c r="B17" s="94" t="str">
        <f>B9</f>
        <v>&lt; 1 year</v>
      </c>
      <c r="C17" s="94" t="str">
        <f>C9</f>
        <v>1 year</v>
      </c>
      <c r="D17" s="94" t="str">
        <f>D9</f>
        <v>2 years</v>
      </c>
      <c r="E17" s="94" t="str">
        <f>E9</f>
        <v>3 years</v>
      </c>
      <c r="F17" s="94" t="str">
        <f>F9</f>
        <v>4 and more years</v>
      </c>
      <c r="G17" s="94" t="s">
        <v>45</v>
      </c>
    </row>
    <row r="18" spans="1:7" ht="18" customHeight="1" x14ac:dyDescent="0.4">
      <c r="A18" s="84" t="s">
        <v>121</v>
      </c>
      <c r="B18" s="91">
        <v>0</v>
      </c>
      <c r="C18" s="91">
        <v>10</v>
      </c>
      <c r="D18" s="91">
        <v>20</v>
      </c>
      <c r="E18" s="91">
        <v>20</v>
      </c>
      <c r="F18" s="91">
        <v>69</v>
      </c>
      <c r="G18" s="91">
        <f>SUM(B18:F18)</f>
        <v>119</v>
      </c>
    </row>
    <row r="19" spans="1:7" ht="18" customHeight="1" x14ac:dyDescent="0.4">
      <c r="A19" s="93"/>
      <c r="B19" s="91" t="s">
        <v>120</v>
      </c>
      <c r="C19" s="91" t="s">
        <v>119</v>
      </c>
      <c r="D19" s="91" t="s">
        <v>45</v>
      </c>
      <c r="E19" s="91"/>
      <c r="F19" s="91"/>
      <c r="G19" s="91"/>
    </row>
    <row r="20" spans="1:7" ht="18" customHeight="1" x14ac:dyDescent="0.4">
      <c r="A20" s="84" t="s">
        <v>30</v>
      </c>
      <c r="B20" s="91">
        <v>0</v>
      </c>
      <c r="C20" s="91">
        <v>8</v>
      </c>
      <c r="D20" s="91">
        <f>SUM(B20:C20)</f>
        <v>8</v>
      </c>
      <c r="E20" s="91"/>
      <c r="F20" s="91"/>
      <c r="G20" s="91"/>
    </row>
    <row r="21" spans="1:7" ht="18" customHeight="1" thickBot="1" x14ac:dyDescent="0.45">
      <c r="A21" s="90" t="s">
        <v>118</v>
      </c>
      <c r="B21" s="88">
        <v>0</v>
      </c>
      <c r="C21" s="88">
        <v>20</v>
      </c>
      <c r="D21" s="88">
        <f>SUM(B21:C21)</f>
        <v>20</v>
      </c>
      <c r="E21" s="88"/>
      <c r="F21" s="88"/>
      <c r="G21" s="88"/>
    </row>
    <row r="22" spans="1:7" ht="18" customHeight="1" thickTop="1" x14ac:dyDescent="0.4">
      <c r="B22" s="91"/>
      <c r="C22" s="91"/>
      <c r="D22" s="91"/>
      <c r="E22" s="91"/>
      <c r="F22" s="91"/>
      <c r="G22" s="91"/>
    </row>
    <row r="23" spans="1:7" ht="18" customHeight="1" thickBot="1" x14ac:dyDescent="0.45">
      <c r="A23" s="96" t="s">
        <v>123</v>
      </c>
      <c r="G23" s="91"/>
    </row>
    <row r="24" spans="1:7" ht="18" customHeight="1" thickTop="1" x14ac:dyDescent="0.4">
      <c r="A24" s="95" t="s">
        <v>122</v>
      </c>
      <c r="B24" s="94" t="str">
        <f>B17</f>
        <v>&lt; 1 year</v>
      </c>
      <c r="C24" s="94" t="str">
        <f>C17</f>
        <v>1 year</v>
      </c>
      <c r="D24" s="94" t="str">
        <f>D17</f>
        <v>2 years</v>
      </c>
      <c r="E24" s="94" t="str">
        <f>E17</f>
        <v>3 years</v>
      </c>
      <c r="F24" s="94" t="str">
        <f>F17</f>
        <v>4 and more years</v>
      </c>
      <c r="G24" s="91"/>
    </row>
    <row r="25" spans="1:7" ht="18" customHeight="1" x14ac:dyDescent="0.4">
      <c r="A25" s="84" t="s">
        <v>121</v>
      </c>
      <c r="B25" s="92">
        <v>46718</v>
      </c>
      <c r="C25" s="92">
        <v>54033</v>
      </c>
      <c r="D25" s="92">
        <v>55801</v>
      </c>
      <c r="E25" s="92">
        <v>57632</v>
      </c>
      <c r="F25" s="92">
        <v>66501</v>
      </c>
      <c r="G25" s="91"/>
    </row>
    <row r="26" spans="1:7" ht="18" customHeight="1" x14ac:dyDescent="0.4">
      <c r="A26" s="93"/>
      <c r="B26" s="91" t="s">
        <v>120</v>
      </c>
      <c r="C26" s="91" t="s">
        <v>119</v>
      </c>
      <c r="D26" s="91"/>
      <c r="E26" s="91"/>
      <c r="F26" s="91"/>
      <c r="G26" s="91"/>
    </row>
    <row r="27" spans="1:7" ht="18" customHeight="1" x14ac:dyDescent="0.4">
      <c r="A27" s="84" t="s">
        <v>30</v>
      </c>
      <c r="B27" s="92">
        <v>80465</v>
      </c>
      <c r="C27" s="92">
        <v>84700</v>
      </c>
      <c r="D27" s="91"/>
      <c r="E27" s="91"/>
      <c r="F27" s="91"/>
      <c r="G27" s="91"/>
    </row>
    <row r="28" spans="1:7" ht="18" customHeight="1" thickBot="1" x14ac:dyDescent="0.45">
      <c r="A28" s="90" t="s">
        <v>118</v>
      </c>
      <c r="B28" s="89">
        <v>70331</v>
      </c>
      <c r="C28" s="89">
        <v>75033</v>
      </c>
      <c r="D28" s="88"/>
      <c r="E28" s="88"/>
      <c r="F28" s="88"/>
      <c r="G28" s="91"/>
    </row>
    <row r="29" spans="1:7" ht="18" customHeight="1" thickTop="1" x14ac:dyDescent="0.4">
      <c r="G29" s="91"/>
    </row>
    <row r="30" spans="1:7" ht="18" customHeight="1" thickBot="1" x14ac:dyDescent="0.45">
      <c r="A30" s="96" t="s">
        <v>123</v>
      </c>
      <c r="G30" s="91"/>
    </row>
    <row r="31" spans="1:7" ht="18" customHeight="1" thickTop="1" x14ac:dyDescent="0.4">
      <c r="A31" s="95" t="s">
        <v>122</v>
      </c>
      <c r="B31" s="94" t="str">
        <f>B24</f>
        <v>&lt; 1 year</v>
      </c>
      <c r="C31" s="94" t="str">
        <f>C24</f>
        <v>1 year</v>
      </c>
      <c r="D31" s="94" t="str">
        <f>D24</f>
        <v>2 years</v>
      </c>
      <c r="E31" s="94" t="str">
        <f>E24</f>
        <v>3 years</v>
      </c>
      <c r="F31" s="94" t="str">
        <f>F24</f>
        <v>4 and more years</v>
      </c>
      <c r="G31" s="91"/>
    </row>
    <row r="32" spans="1:7" ht="18" customHeight="1" x14ac:dyDescent="0.4">
      <c r="A32" s="84" t="s">
        <v>121</v>
      </c>
      <c r="B32" s="92">
        <f>B25*B18</f>
        <v>0</v>
      </c>
      <c r="C32" s="92">
        <f>C25*C18</f>
        <v>540330</v>
      </c>
      <c r="D32" s="92">
        <f>D25*D18</f>
        <v>1116020</v>
      </c>
      <c r="E32" s="92">
        <f>E25*E18</f>
        <v>1152640</v>
      </c>
      <c r="F32" s="92">
        <f>F25*F18</f>
        <v>4588569</v>
      </c>
      <c r="G32" s="91"/>
    </row>
    <row r="33" spans="1:7" ht="18" customHeight="1" x14ac:dyDescent="0.4">
      <c r="A33" s="93"/>
      <c r="B33" s="91" t="s">
        <v>120</v>
      </c>
      <c r="C33" s="91" t="s">
        <v>119</v>
      </c>
      <c r="D33" s="91"/>
      <c r="E33" s="91"/>
      <c r="F33" s="91"/>
      <c r="G33" s="91"/>
    </row>
    <row r="34" spans="1:7" ht="18" customHeight="1" x14ac:dyDescent="0.4">
      <c r="A34" s="84" t="s">
        <v>30</v>
      </c>
      <c r="B34" s="92">
        <f>B27*B20</f>
        <v>0</v>
      </c>
      <c r="C34" s="92">
        <f>C27*C20</f>
        <v>677600</v>
      </c>
      <c r="D34" s="91"/>
      <c r="E34" s="91"/>
      <c r="F34" s="91"/>
      <c r="G34" s="91"/>
    </row>
    <row r="35" spans="1:7" ht="18" customHeight="1" thickBot="1" x14ac:dyDescent="0.45">
      <c r="A35" s="90" t="s">
        <v>118</v>
      </c>
      <c r="B35" s="89">
        <f>B21*B28</f>
        <v>0</v>
      </c>
      <c r="C35" s="89">
        <f>C21*C28</f>
        <v>1500660</v>
      </c>
      <c r="D35" s="88"/>
      <c r="E35" s="88"/>
      <c r="F35" s="88"/>
      <c r="G35" s="91"/>
    </row>
    <row r="36" spans="1:7" ht="18" customHeight="1" thickTop="1" x14ac:dyDescent="0.4">
      <c r="B36" s="91"/>
      <c r="C36" s="91"/>
      <c r="D36" s="91"/>
      <c r="E36" s="91"/>
      <c r="F36" s="91"/>
      <c r="G36" s="91"/>
    </row>
    <row r="37" spans="1:7" ht="18" customHeight="1" x14ac:dyDescent="0.4">
      <c r="A37" s="87" t="s">
        <v>117</v>
      </c>
      <c r="B37" s="86"/>
      <c r="C37" s="85">
        <f>SUM(B32:F32)+SUM(B34:C35)</f>
        <v>9575819</v>
      </c>
      <c r="D37" s="91"/>
      <c r="E37" s="91"/>
      <c r="F37" s="91"/>
      <c r="G37" s="91"/>
    </row>
    <row r="39" spans="1:7" ht="18" customHeight="1" x14ac:dyDescent="0.4">
      <c r="A39" s="87" t="s">
        <v>127</v>
      </c>
    </row>
    <row r="40" spans="1:7" ht="18" customHeight="1" thickBot="1" x14ac:dyDescent="0.45">
      <c r="A40" s="96" t="s">
        <v>126</v>
      </c>
    </row>
    <row r="41" spans="1:7" ht="18" customHeight="1" thickTop="1" x14ac:dyDescent="0.4">
      <c r="A41" s="95" t="s">
        <v>122</v>
      </c>
      <c r="B41" s="94" t="str">
        <f>B17</f>
        <v>&lt; 1 year</v>
      </c>
      <c r="C41" s="94" t="str">
        <f>C17</f>
        <v>1 year</v>
      </c>
      <c r="D41" s="94" t="str">
        <f>D17</f>
        <v>2 years</v>
      </c>
      <c r="E41" s="94" t="str">
        <f>E17</f>
        <v>3 years</v>
      </c>
      <c r="F41" s="94" t="str">
        <f>F17</f>
        <v>4 and more years</v>
      </c>
      <c r="G41" s="97"/>
    </row>
    <row r="42" spans="1:7" ht="18" customHeight="1" x14ac:dyDescent="0.4">
      <c r="A42" s="84" t="s">
        <v>121</v>
      </c>
      <c r="B42" s="102">
        <v>0.1</v>
      </c>
      <c r="C42" s="102">
        <v>0.08</v>
      </c>
      <c r="D42" s="102">
        <v>0.08</v>
      </c>
      <c r="E42" s="102">
        <v>7.0000000000000007E-2</v>
      </c>
      <c r="F42" s="102">
        <v>0.1</v>
      </c>
    </row>
    <row r="43" spans="1:7" ht="18" customHeight="1" x14ac:dyDescent="0.4">
      <c r="A43" s="93"/>
      <c r="B43" s="91" t="s">
        <v>120</v>
      </c>
      <c r="C43" s="91" t="s">
        <v>119</v>
      </c>
      <c r="D43" s="91"/>
    </row>
    <row r="44" spans="1:7" ht="18" customHeight="1" x14ac:dyDescent="0.4">
      <c r="A44" s="84" t="s">
        <v>30</v>
      </c>
      <c r="B44" s="102">
        <v>0.05</v>
      </c>
      <c r="C44" s="102">
        <v>0.1</v>
      </c>
    </row>
    <row r="45" spans="1:7" ht="18" customHeight="1" thickBot="1" x14ac:dyDescent="0.45">
      <c r="A45" s="90" t="s">
        <v>118</v>
      </c>
      <c r="B45" s="101">
        <v>7.0000000000000007E-2</v>
      </c>
      <c r="C45" s="101">
        <v>0.05</v>
      </c>
      <c r="D45" s="100"/>
      <c r="E45" s="100"/>
      <c r="F45" s="100"/>
    </row>
    <row r="46" spans="1:7" ht="18" customHeight="1" thickTop="1" x14ac:dyDescent="0.4"/>
    <row r="47" spans="1:7" ht="18" customHeight="1" thickBot="1" x14ac:dyDescent="0.45">
      <c r="A47" s="96" t="s">
        <v>125</v>
      </c>
    </row>
    <row r="48" spans="1:7" ht="18" customHeight="1" thickTop="1" x14ac:dyDescent="0.4">
      <c r="A48" s="95" t="s">
        <v>122</v>
      </c>
      <c r="B48" s="94" t="str">
        <f>B41</f>
        <v>&lt; 1 year</v>
      </c>
      <c r="C48" s="94" t="str">
        <f>C41</f>
        <v>1 year</v>
      </c>
      <c r="D48" s="94" t="str">
        <f>D41</f>
        <v>2 years</v>
      </c>
      <c r="E48" s="94" t="str">
        <f>E41</f>
        <v>3 years</v>
      </c>
      <c r="F48" s="94" t="str">
        <f>F41</f>
        <v>4 and more years</v>
      </c>
      <c r="G48" s="94" t="s">
        <v>45</v>
      </c>
    </row>
    <row r="49" spans="1:7" ht="18" customHeight="1" x14ac:dyDescent="0.4">
      <c r="A49" s="99" t="s">
        <v>121</v>
      </c>
      <c r="B49" s="98">
        <f>ROUNDUP(B42*B10,0)</f>
        <v>1</v>
      </c>
      <c r="C49" s="98">
        <f>ROUNDUP(C42*C10,0)</f>
        <v>2</v>
      </c>
      <c r="D49" s="98">
        <f>ROUNDUP(D42*D10,0)</f>
        <v>2</v>
      </c>
      <c r="E49" s="98">
        <f>ROUNDUP(E42*E10,0)</f>
        <v>3</v>
      </c>
      <c r="F49" s="98">
        <f>ROUNDUP(F42*F10,0)</f>
        <v>4</v>
      </c>
      <c r="G49" s="98">
        <f>SUM(B49:F49)</f>
        <v>12</v>
      </c>
    </row>
    <row r="50" spans="1:7" ht="18" customHeight="1" x14ac:dyDescent="0.4">
      <c r="A50" s="93"/>
      <c r="B50" s="91" t="s">
        <v>120</v>
      </c>
      <c r="C50" s="91" t="s">
        <v>119</v>
      </c>
      <c r="D50" s="91" t="s">
        <v>45</v>
      </c>
      <c r="E50" s="91"/>
      <c r="F50" s="91"/>
      <c r="G50" s="91"/>
    </row>
    <row r="51" spans="1:7" ht="18" customHeight="1" x14ac:dyDescent="0.4">
      <c r="A51" s="84" t="s">
        <v>30</v>
      </c>
      <c r="B51" s="91">
        <f>ROUNDUP(B44*B12,0)</f>
        <v>1</v>
      </c>
      <c r="C51" s="91">
        <f>ROUNDUP(C44*C12,0)</f>
        <v>1</v>
      </c>
      <c r="D51" s="91">
        <f>SUM(B51:C51)</f>
        <v>2</v>
      </c>
      <c r="E51" s="91"/>
      <c r="F51" s="91"/>
      <c r="G51" s="91"/>
    </row>
    <row r="52" spans="1:7" ht="18" customHeight="1" thickBot="1" x14ac:dyDescent="0.45">
      <c r="A52" s="90" t="s">
        <v>118</v>
      </c>
      <c r="B52" s="88">
        <f>ROUNDUP(B45*B13,0)</f>
        <v>1</v>
      </c>
      <c r="C52" s="88">
        <f>ROUNDUP(C45*C13,0)</f>
        <v>1</v>
      </c>
      <c r="D52" s="88">
        <f>SUM(B52:C52)</f>
        <v>2</v>
      </c>
      <c r="E52" s="88"/>
      <c r="F52" s="88"/>
      <c r="G52" s="88"/>
    </row>
    <row r="53" spans="1:7" ht="18" customHeight="1" thickTop="1" x14ac:dyDescent="0.4"/>
    <row r="54" spans="1:7" ht="18" customHeight="1" thickBot="1" x14ac:dyDescent="0.45">
      <c r="A54" s="96" t="s">
        <v>124</v>
      </c>
    </row>
    <row r="55" spans="1:7" ht="18" customHeight="1" thickTop="1" x14ac:dyDescent="0.4">
      <c r="A55" s="95" t="s">
        <v>122</v>
      </c>
      <c r="B55" s="94" t="str">
        <f>B48</f>
        <v>&lt; 1 year</v>
      </c>
      <c r="C55" s="94" t="str">
        <f>C48</f>
        <v>1 year</v>
      </c>
      <c r="D55" s="94" t="str">
        <f>D48</f>
        <v>2 years</v>
      </c>
      <c r="E55" s="94" t="str">
        <f>E48</f>
        <v>3 years</v>
      </c>
      <c r="F55" s="94" t="str">
        <f>F48</f>
        <v>4 and more years</v>
      </c>
      <c r="G55" s="94" t="s">
        <v>45</v>
      </c>
    </row>
    <row r="56" spans="1:7" ht="18" customHeight="1" x14ac:dyDescent="0.4">
      <c r="A56" s="84" t="s">
        <v>121</v>
      </c>
      <c r="B56" s="91">
        <f>G49</f>
        <v>12</v>
      </c>
      <c r="C56" s="91">
        <f>B10-B49</f>
        <v>9</v>
      </c>
      <c r="D56" s="91">
        <f>C10-C49</f>
        <v>18</v>
      </c>
      <c r="E56" s="91">
        <f>D10-D49</f>
        <v>18</v>
      </c>
      <c r="F56" s="91">
        <f>F10-F49+E10-E49</f>
        <v>62</v>
      </c>
      <c r="G56" s="91">
        <f>SUM(B56:F56)</f>
        <v>119</v>
      </c>
    </row>
    <row r="57" spans="1:7" ht="18" customHeight="1" x14ac:dyDescent="0.4">
      <c r="A57" s="93"/>
      <c r="B57" s="91" t="s">
        <v>120</v>
      </c>
      <c r="C57" s="91" t="s">
        <v>119</v>
      </c>
      <c r="D57" s="91" t="s">
        <v>45</v>
      </c>
      <c r="E57" s="91"/>
      <c r="F57" s="91"/>
      <c r="G57" s="91"/>
    </row>
    <row r="58" spans="1:7" ht="18" customHeight="1" x14ac:dyDescent="0.4">
      <c r="A58" s="84" t="s">
        <v>30</v>
      </c>
      <c r="B58" s="91">
        <f>D51</f>
        <v>2</v>
      </c>
      <c r="C58" s="91">
        <f>C12-C51+B12-B51</f>
        <v>6</v>
      </c>
      <c r="D58" s="91">
        <f>SUM(B58:C58)</f>
        <v>8</v>
      </c>
      <c r="E58" s="91"/>
      <c r="F58" s="91"/>
      <c r="G58" s="91"/>
    </row>
    <row r="59" spans="1:7" ht="18" customHeight="1" thickBot="1" x14ac:dyDescent="0.45">
      <c r="A59" s="90" t="s">
        <v>118</v>
      </c>
      <c r="B59" s="88">
        <f>D52</f>
        <v>2</v>
      </c>
      <c r="C59" s="88">
        <f>C13-C52+B13-B52</f>
        <v>18</v>
      </c>
      <c r="D59" s="88">
        <f>SUM(B59:C59)</f>
        <v>20</v>
      </c>
      <c r="E59" s="88"/>
      <c r="F59" s="88"/>
      <c r="G59" s="88"/>
    </row>
    <row r="60" spans="1:7" ht="18" customHeight="1" thickTop="1" x14ac:dyDescent="0.4"/>
    <row r="61" spans="1:7" ht="18" customHeight="1" thickBot="1" x14ac:dyDescent="0.45">
      <c r="A61" s="96" t="s">
        <v>123</v>
      </c>
    </row>
    <row r="62" spans="1:7" ht="18" customHeight="1" thickTop="1" x14ac:dyDescent="0.4">
      <c r="A62" s="95" t="s">
        <v>122</v>
      </c>
      <c r="B62" s="94" t="str">
        <f>B55</f>
        <v>&lt; 1 year</v>
      </c>
      <c r="C62" s="94" t="str">
        <f>C55</f>
        <v>1 year</v>
      </c>
      <c r="D62" s="94" t="str">
        <f>D55</f>
        <v>2 years</v>
      </c>
      <c r="E62" s="94" t="str">
        <f>E55</f>
        <v>3 years</v>
      </c>
      <c r="F62" s="94" t="str">
        <f>F55</f>
        <v>4 and more years</v>
      </c>
      <c r="G62" s="97"/>
    </row>
    <row r="63" spans="1:7" ht="18" customHeight="1" x14ac:dyDescent="0.4">
      <c r="A63" s="84" t="s">
        <v>121</v>
      </c>
      <c r="B63" s="92">
        <v>46718</v>
      </c>
      <c r="C63" s="92">
        <v>54033</v>
      </c>
      <c r="D63" s="92">
        <v>55801</v>
      </c>
      <c r="E63" s="92">
        <v>57632</v>
      </c>
      <c r="F63" s="92">
        <v>66501</v>
      </c>
      <c r="G63" s="91"/>
    </row>
    <row r="64" spans="1:7" ht="18" customHeight="1" x14ac:dyDescent="0.4">
      <c r="A64" s="93"/>
      <c r="B64" s="91" t="s">
        <v>120</v>
      </c>
      <c r="C64" s="91" t="s">
        <v>119</v>
      </c>
      <c r="D64" s="91"/>
      <c r="E64" s="91"/>
      <c r="F64" s="91"/>
      <c r="G64" s="91"/>
    </row>
    <row r="65" spans="1:7" ht="18" customHeight="1" x14ac:dyDescent="0.4">
      <c r="A65" s="84" t="s">
        <v>30</v>
      </c>
      <c r="B65" s="92">
        <v>80465</v>
      </c>
      <c r="C65" s="92">
        <v>84700</v>
      </c>
      <c r="D65" s="91"/>
      <c r="E65" s="91"/>
      <c r="F65" s="91"/>
      <c r="G65" s="91"/>
    </row>
    <row r="66" spans="1:7" ht="18" customHeight="1" thickBot="1" x14ac:dyDescent="0.45">
      <c r="A66" s="90" t="s">
        <v>118</v>
      </c>
      <c r="B66" s="89">
        <v>70331</v>
      </c>
      <c r="C66" s="89">
        <v>75033</v>
      </c>
      <c r="D66" s="88"/>
      <c r="E66" s="88"/>
      <c r="F66" s="88"/>
      <c r="G66" s="91"/>
    </row>
    <row r="67" spans="1:7" ht="18" customHeight="1" thickTop="1" x14ac:dyDescent="0.4"/>
    <row r="68" spans="1:7" ht="18" customHeight="1" thickBot="1" x14ac:dyDescent="0.45">
      <c r="A68" s="96" t="s">
        <v>123</v>
      </c>
    </row>
    <row r="69" spans="1:7" ht="18" customHeight="1" thickTop="1" x14ac:dyDescent="0.4">
      <c r="A69" s="95" t="s">
        <v>122</v>
      </c>
      <c r="B69" s="94" t="str">
        <f>B62</f>
        <v>&lt; 1 year</v>
      </c>
      <c r="C69" s="94" t="str">
        <f>C62</f>
        <v>1 year</v>
      </c>
      <c r="D69" s="94" t="str">
        <f>D62</f>
        <v>2 years</v>
      </c>
      <c r="E69" s="94" t="str">
        <f>E62</f>
        <v>3 years</v>
      </c>
      <c r="F69" s="94" t="str">
        <f>F62</f>
        <v>4 and more years</v>
      </c>
    </row>
    <row r="70" spans="1:7" ht="18" customHeight="1" x14ac:dyDescent="0.4">
      <c r="A70" s="84" t="s">
        <v>121</v>
      </c>
      <c r="B70" s="92">
        <f>B63*B56</f>
        <v>560616</v>
      </c>
      <c r="C70" s="92">
        <f>C63*C56</f>
        <v>486297</v>
      </c>
      <c r="D70" s="92">
        <f>D63*D56</f>
        <v>1004418</v>
      </c>
      <c r="E70" s="92">
        <f>E63*E56</f>
        <v>1037376</v>
      </c>
      <c r="F70" s="92">
        <f>F63*F56</f>
        <v>4123062</v>
      </c>
    </row>
    <row r="71" spans="1:7" ht="18" customHeight="1" x14ac:dyDescent="0.4">
      <c r="A71" s="93"/>
      <c r="B71" s="91" t="s">
        <v>120</v>
      </c>
      <c r="C71" s="91" t="s">
        <v>119</v>
      </c>
      <c r="D71" s="91"/>
      <c r="E71" s="91"/>
      <c r="F71" s="91"/>
    </row>
    <row r="72" spans="1:7" ht="18" customHeight="1" x14ac:dyDescent="0.4">
      <c r="A72" s="84" t="s">
        <v>30</v>
      </c>
      <c r="B72" s="92">
        <f>B65*B58</f>
        <v>160930</v>
      </c>
      <c r="C72" s="92">
        <f>C65*C58</f>
        <v>508200</v>
      </c>
      <c r="D72" s="91"/>
      <c r="E72" s="91"/>
      <c r="F72" s="91"/>
    </row>
    <row r="73" spans="1:7" ht="18" customHeight="1" thickBot="1" x14ac:dyDescent="0.45">
      <c r="A73" s="90" t="s">
        <v>118</v>
      </c>
      <c r="B73" s="89">
        <f>B66*B59</f>
        <v>140662</v>
      </c>
      <c r="C73" s="89">
        <f>C66*C59</f>
        <v>1350594</v>
      </c>
      <c r="D73" s="88"/>
      <c r="E73" s="88"/>
      <c r="F73" s="88"/>
    </row>
    <row r="74" spans="1:7" ht="18" customHeight="1" thickTop="1" x14ac:dyDescent="0.4"/>
    <row r="75" spans="1:7" ht="18" customHeight="1" x14ac:dyDescent="0.4">
      <c r="A75" s="87" t="s">
        <v>117</v>
      </c>
      <c r="B75" s="86"/>
      <c r="C75" s="85">
        <f>SUM(B70:F70)+SUM(B72:C73)</f>
        <v>9372155</v>
      </c>
    </row>
  </sheetData>
  <mergeCells count="5">
    <mergeCell ref="A2:A3"/>
    <mergeCell ref="B2:B3"/>
    <mergeCell ref="C2:D2"/>
    <mergeCell ref="E2:E3"/>
    <mergeCell ref="F2:G2"/>
  </mergeCells>
  <pageMargins left="0.7" right="0.7" top="0.75" bottom="0.75" header="0.3" footer="0.3"/>
  <pageSetup scale="83" fitToHeight="0" orientation="portrait" horizontalDpi="1200" verticalDpi="1200" r:id="rId1"/>
  <rowBreaks count="1" manualBreakCount="1">
    <brk id="3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D1C8-7C82-4FC1-87F6-F4BFE6138817}">
  <dimension ref="A1:B13"/>
  <sheetViews>
    <sheetView workbookViewId="0">
      <selection activeCell="B9" sqref="B9"/>
    </sheetView>
  </sheetViews>
  <sheetFormatPr defaultColWidth="21.765625" defaultRowHeight="20.05" customHeight="1" x14ac:dyDescent="0.4"/>
  <cols>
    <col min="1" max="1" width="21.765625" style="1"/>
    <col min="2" max="2" width="23.3828125" style="1" bestFit="1" customWidth="1"/>
    <col min="3" max="16384" width="21.765625" style="1"/>
  </cols>
  <sheetData>
    <row r="1" spans="1:2" ht="20.05" customHeight="1" x14ac:dyDescent="0.4">
      <c r="A1" s="1" t="s">
        <v>194</v>
      </c>
    </row>
    <row r="2" spans="1:2" ht="20.05" customHeight="1" x14ac:dyDescent="0.4">
      <c r="A2" s="1" t="s">
        <v>193</v>
      </c>
      <c r="B2" s="145">
        <v>100000</v>
      </c>
    </row>
    <row r="3" spans="1:2" ht="20.05" customHeight="1" x14ac:dyDescent="0.4">
      <c r="A3" s="1" t="s">
        <v>192</v>
      </c>
      <c r="B3" s="1">
        <v>80</v>
      </c>
    </row>
    <row r="4" spans="1:2" ht="20.05" customHeight="1" x14ac:dyDescent="0.4">
      <c r="A4" s="1" t="s">
        <v>191</v>
      </c>
      <c r="B4" s="1">
        <v>30</v>
      </c>
    </row>
    <row r="5" spans="1:2" ht="20.05" customHeight="1" x14ac:dyDescent="0.4">
      <c r="A5" s="1" t="s">
        <v>190</v>
      </c>
      <c r="B5" s="1">
        <v>200</v>
      </c>
    </row>
    <row r="6" spans="1:2" ht="20.05" customHeight="1" x14ac:dyDescent="0.4">
      <c r="A6" s="1" t="s">
        <v>189</v>
      </c>
      <c r="B6" s="1">
        <v>0.05</v>
      </c>
    </row>
    <row r="8" spans="1:2" ht="20.05" customHeight="1" x14ac:dyDescent="0.4">
      <c r="A8" s="1" t="s">
        <v>188</v>
      </c>
      <c r="B8" s="144">
        <v>300</v>
      </c>
    </row>
    <row r="9" spans="1:2" ht="20.05" customHeight="1" x14ac:dyDescent="0.4">
      <c r="A9" s="1" t="s">
        <v>187</v>
      </c>
      <c r="B9" s="10">
        <f>B5*B8+B6*B8^2</f>
        <v>64500</v>
      </c>
    </row>
    <row r="10" spans="1:2" ht="20.05" customHeight="1" x14ac:dyDescent="0.4">
      <c r="A10" s="1" t="s">
        <v>186</v>
      </c>
      <c r="B10" s="143">
        <f>B9/B2</f>
        <v>0.64500000000000002</v>
      </c>
    </row>
    <row r="12" spans="1:2" ht="20.05" customHeight="1" x14ac:dyDescent="0.4">
      <c r="A12" s="1" t="s">
        <v>185</v>
      </c>
      <c r="B12" s="142">
        <f>B3*LN(B8)-B4*B2/B8</f>
        <v>-9543.6974020275047</v>
      </c>
    </row>
    <row r="13" spans="1:2" ht="20.05" customHeight="1" x14ac:dyDescent="0.4">
      <c r="A13" s="1" t="s">
        <v>184</v>
      </c>
      <c r="B13" s="142">
        <f>B2*B12-B9</f>
        <v>-954434240.20275044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47AF-D6D0-469D-9141-1FE557419960}">
  <sheetPr>
    <pageSetUpPr fitToPage="1"/>
  </sheetPr>
  <dimension ref="A1:L34"/>
  <sheetViews>
    <sheetView tabSelected="1" zoomScaleNormal="100" workbookViewId="0">
      <selection activeCell="F32" sqref="F32"/>
    </sheetView>
  </sheetViews>
  <sheetFormatPr defaultColWidth="9.15234375" defaultRowHeight="20.149999999999999" customHeight="1" x14ac:dyDescent="0.4"/>
  <cols>
    <col min="1" max="1" width="40.69140625" style="122" customWidth="1"/>
    <col min="2" max="11" width="15.69140625" style="122" customWidth="1"/>
    <col min="12" max="12" width="15.69140625" style="125" customWidth="1"/>
    <col min="13" max="16384" width="9.15234375" style="122"/>
  </cols>
  <sheetData>
    <row r="1" spans="1:12" ht="20.149999999999999" customHeight="1" x14ac:dyDescent="0.4">
      <c r="A1" s="121" t="s">
        <v>143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2" spans="1:12" ht="20.149999999999999" customHeight="1" x14ac:dyDescent="0.4">
      <c r="A2" s="123" t="s">
        <v>144</v>
      </c>
      <c r="B2" s="124" t="s">
        <v>145</v>
      </c>
      <c r="C2" s="124" t="s">
        <v>146</v>
      </c>
      <c r="D2" s="124" t="s">
        <v>147</v>
      </c>
      <c r="E2" s="124" t="s">
        <v>148</v>
      </c>
      <c r="F2" s="124" t="s">
        <v>149</v>
      </c>
      <c r="G2" s="124" t="s">
        <v>150</v>
      </c>
      <c r="H2" s="124" t="s">
        <v>151</v>
      </c>
      <c r="I2" s="124" t="s">
        <v>152</v>
      </c>
      <c r="J2" s="124" t="s">
        <v>153</v>
      </c>
      <c r="K2" s="124" t="s">
        <v>154</v>
      </c>
    </row>
    <row r="3" spans="1:12" ht="20.149999999999999" customHeight="1" x14ac:dyDescent="0.4">
      <c r="A3" s="122" t="s">
        <v>155</v>
      </c>
      <c r="B3" s="122">
        <v>0.5</v>
      </c>
      <c r="C3" s="122">
        <f>B3-0.03</f>
        <v>0.47</v>
      </c>
      <c r="D3" s="122">
        <f t="shared" ref="D3:K3" si="0">C3-0.03</f>
        <v>0.43999999999999995</v>
      </c>
      <c r="E3" s="122">
        <f t="shared" si="0"/>
        <v>0.40999999999999992</v>
      </c>
      <c r="F3" s="122">
        <f t="shared" si="0"/>
        <v>0.37999999999999989</v>
      </c>
      <c r="G3" s="122">
        <f t="shared" si="0"/>
        <v>0.34999999999999987</v>
      </c>
      <c r="H3" s="122">
        <f t="shared" si="0"/>
        <v>0.31999999999999984</v>
      </c>
      <c r="I3" s="122">
        <f t="shared" si="0"/>
        <v>0.28999999999999981</v>
      </c>
      <c r="J3" s="122">
        <f t="shared" si="0"/>
        <v>0.25999999999999979</v>
      </c>
      <c r="K3" s="122">
        <f t="shared" si="0"/>
        <v>0.22999999999999979</v>
      </c>
    </row>
    <row r="4" spans="1:12" ht="20.149999999999999" customHeight="1" x14ac:dyDescent="0.4">
      <c r="A4" s="122" t="s">
        <v>156</v>
      </c>
      <c r="B4" s="122">
        <v>0.4</v>
      </c>
      <c r="C4" s="122">
        <f>B4-0.01</f>
        <v>0.39</v>
      </c>
      <c r="D4" s="122">
        <f t="shared" ref="D4:K4" si="1">C4-0.01</f>
        <v>0.38</v>
      </c>
      <c r="E4" s="122">
        <f t="shared" si="1"/>
        <v>0.37</v>
      </c>
      <c r="F4" s="122">
        <f t="shared" si="1"/>
        <v>0.36</v>
      </c>
      <c r="G4" s="122">
        <f t="shared" si="1"/>
        <v>0.35</v>
      </c>
      <c r="H4" s="122">
        <f t="shared" si="1"/>
        <v>0.33999999999999997</v>
      </c>
      <c r="I4" s="122">
        <f t="shared" si="1"/>
        <v>0.32999999999999996</v>
      </c>
      <c r="J4" s="122">
        <f t="shared" si="1"/>
        <v>0.31999999999999995</v>
      </c>
      <c r="K4" s="122">
        <f t="shared" si="1"/>
        <v>0.30999999999999994</v>
      </c>
    </row>
    <row r="5" spans="1:12" ht="20.149999999999999" customHeight="1" x14ac:dyDescent="0.4">
      <c r="A5" s="122" t="s">
        <v>157</v>
      </c>
      <c r="B5" s="122">
        <f>1-B4-B3</f>
        <v>9.9999999999999978E-2</v>
      </c>
      <c r="C5" s="122">
        <f t="shared" ref="C5:K5" si="2">1-C4-C3</f>
        <v>0.14000000000000001</v>
      </c>
      <c r="D5" s="122">
        <f t="shared" si="2"/>
        <v>0.18000000000000005</v>
      </c>
      <c r="E5" s="122">
        <f t="shared" si="2"/>
        <v>0.22000000000000008</v>
      </c>
      <c r="F5" s="122">
        <f t="shared" si="2"/>
        <v>0.26000000000000012</v>
      </c>
      <c r="G5" s="122">
        <f t="shared" si="2"/>
        <v>0.30000000000000016</v>
      </c>
      <c r="H5" s="122">
        <f t="shared" si="2"/>
        <v>0.34000000000000019</v>
      </c>
      <c r="I5" s="122">
        <f t="shared" si="2"/>
        <v>0.38000000000000023</v>
      </c>
      <c r="J5" s="122">
        <f t="shared" si="2"/>
        <v>0.42000000000000026</v>
      </c>
      <c r="K5" s="122">
        <f t="shared" si="2"/>
        <v>0.4600000000000003</v>
      </c>
    </row>
    <row r="6" spans="1:12" ht="20.149999999999999" customHeight="1" x14ac:dyDescent="0.4">
      <c r="A6" s="122" t="s">
        <v>158</v>
      </c>
      <c r="B6" s="126">
        <v>7000</v>
      </c>
      <c r="C6" s="126">
        <v>20000</v>
      </c>
      <c r="D6" s="126">
        <v>30000</v>
      </c>
      <c r="E6" s="126">
        <v>41000</v>
      </c>
      <c r="F6" s="126">
        <v>54000</v>
      </c>
      <c r="G6" s="126">
        <v>70000</v>
      </c>
      <c r="H6" s="126">
        <v>90000</v>
      </c>
      <c r="I6" s="126">
        <v>115000</v>
      </c>
      <c r="J6" s="126">
        <v>155000</v>
      </c>
      <c r="K6" s="126">
        <v>300000</v>
      </c>
    </row>
    <row r="7" spans="1:12" ht="20.149999999999999" customHeight="1" x14ac:dyDescent="0.4">
      <c r="A7" s="122" t="s">
        <v>159</v>
      </c>
      <c r="B7" s="127">
        <v>0.03</v>
      </c>
      <c r="C7" s="127">
        <v>0.03</v>
      </c>
      <c r="D7" s="127">
        <v>0.03</v>
      </c>
      <c r="E7" s="127">
        <v>0.03</v>
      </c>
      <c r="F7" s="127">
        <v>0.03</v>
      </c>
      <c r="G7" s="127">
        <v>0.03</v>
      </c>
      <c r="H7" s="127">
        <v>0.03</v>
      </c>
      <c r="I7" s="127">
        <v>0.03</v>
      </c>
      <c r="J7" s="127">
        <v>0.03</v>
      </c>
      <c r="K7" s="127">
        <v>0.03</v>
      </c>
    </row>
    <row r="8" spans="1:12" ht="20.149999999999999" customHeight="1" x14ac:dyDescent="0.4">
      <c r="A8" s="122" t="s">
        <v>160</v>
      </c>
      <c r="B8" s="127">
        <v>0.05</v>
      </c>
      <c r="C8" s="127">
        <v>0.05</v>
      </c>
      <c r="D8" s="127">
        <v>0.05</v>
      </c>
      <c r="E8" s="127">
        <v>0.05</v>
      </c>
      <c r="F8" s="127">
        <v>0.05</v>
      </c>
      <c r="G8" s="127">
        <v>0.05</v>
      </c>
      <c r="H8" s="127">
        <v>0.05</v>
      </c>
      <c r="I8" s="127">
        <v>0.05</v>
      </c>
      <c r="J8" s="127">
        <v>0.05</v>
      </c>
      <c r="K8" s="127">
        <v>0.05</v>
      </c>
    </row>
    <row r="9" spans="1:12" ht="20.149999999999999" customHeight="1" x14ac:dyDescent="0.4">
      <c r="A9" s="122" t="s">
        <v>161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</row>
    <row r="10" spans="1:12" ht="20.149999999999999" customHeight="1" x14ac:dyDescent="0.4">
      <c r="A10" s="122" t="s">
        <v>162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</row>
    <row r="11" spans="1:12" ht="20.149999999999999" customHeight="1" x14ac:dyDescent="0.4">
      <c r="A11" s="122" t="s">
        <v>163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</row>
    <row r="12" spans="1:12" ht="20.149999999999999" customHeight="1" x14ac:dyDescent="0.4">
      <c r="A12" s="129" t="s">
        <v>164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</row>
    <row r="13" spans="1:12" ht="20.149999999999999" customHeight="1" x14ac:dyDescent="0.4">
      <c r="A13" s="122" t="s">
        <v>165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31">
        <f>SUM(B13:K13)</f>
        <v>0</v>
      </c>
    </row>
    <row r="14" spans="1:12" ht="20.149999999999999" customHeight="1" x14ac:dyDescent="0.4">
      <c r="A14" s="129" t="s">
        <v>166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2"/>
    </row>
    <row r="15" spans="1:12" ht="20.149999999999999" customHeight="1" x14ac:dyDescent="0.4">
      <c r="A15" s="122" t="s">
        <v>167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</row>
    <row r="16" spans="1:12" ht="20.149999999999999" customHeight="1" x14ac:dyDescent="0.4">
      <c r="A16" s="122" t="s">
        <v>168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</row>
    <row r="17" spans="1:12" ht="20.149999999999999" customHeight="1" x14ac:dyDescent="0.4">
      <c r="A17" s="122" t="s">
        <v>169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</row>
    <row r="18" spans="1:12" ht="20.149999999999999" customHeight="1" x14ac:dyDescent="0.4">
      <c r="A18" s="122" t="s">
        <v>170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1">
        <f>SUM(B18:K18)</f>
        <v>0</v>
      </c>
    </row>
    <row r="19" spans="1:12" ht="20.149999999999999" customHeight="1" x14ac:dyDescent="0.4">
      <c r="A19" s="129" t="s">
        <v>171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</row>
    <row r="20" spans="1:12" ht="20.149999999999999" customHeight="1" x14ac:dyDescent="0.4">
      <c r="A20" s="122" t="s">
        <v>172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</row>
    <row r="21" spans="1:12" ht="20.149999999999999" customHeight="1" x14ac:dyDescent="0.4">
      <c r="A21" s="122" t="s">
        <v>173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</row>
    <row r="22" spans="1:12" ht="20.149999999999999" customHeight="1" x14ac:dyDescent="0.4">
      <c r="A22" s="122" t="s">
        <v>174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</row>
    <row r="23" spans="1:12" ht="20.149999999999999" customHeight="1" x14ac:dyDescent="0.4">
      <c r="A23" s="122" t="s">
        <v>175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7">
        <f>SUM(B23:K23)</f>
        <v>0</v>
      </c>
    </row>
    <row r="24" spans="1:12" ht="20.149999999999999" customHeight="1" x14ac:dyDescent="0.4">
      <c r="A24" s="129" t="s">
        <v>176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</row>
    <row r="25" spans="1:12" ht="20.149999999999999" customHeight="1" x14ac:dyDescent="0.4">
      <c r="A25" s="122" t="s">
        <v>177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2" ht="20.149999999999999" customHeight="1" x14ac:dyDescent="0.4">
      <c r="A26" s="122" t="s">
        <v>178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</row>
    <row r="27" spans="1:12" ht="20.149999999999999" customHeight="1" x14ac:dyDescent="0.4">
      <c r="A27" s="122" t="s">
        <v>179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</row>
    <row r="28" spans="1:12" ht="20.149999999999999" customHeight="1" x14ac:dyDescent="0.4">
      <c r="A28" s="122" t="s">
        <v>180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37">
        <f>SUM(B28:K28)</f>
        <v>0</v>
      </c>
    </row>
    <row r="29" spans="1:12" ht="20.149999999999999" customHeight="1" x14ac:dyDescent="0.4">
      <c r="A29" s="129" t="s">
        <v>181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</row>
    <row r="30" spans="1:12" ht="20.149999999999999" customHeight="1" x14ac:dyDescent="0.4">
      <c r="A30" s="122" t="s">
        <v>182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1">
        <f>L13+L28+L23+L18</f>
        <v>0</v>
      </c>
    </row>
    <row r="31" spans="1:12" ht="20.149999999999999" customHeight="1" x14ac:dyDescent="0.4">
      <c r="A31" s="129" t="s">
        <v>183</v>
      </c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9"/>
    </row>
    <row r="32" spans="1:12" ht="20.149999999999999" customHeight="1" x14ac:dyDescent="0.4">
      <c r="B32" s="136"/>
      <c r="C32" s="136"/>
      <c r="D32" s="136"/>
      <c r="E32" s="136"/>
      <c r="F32" s="136"/>
      <c r="G32" s="136"/>
      <c r="H32" s="136"/>
      <c r="I32" s="136"/>
      <c r="J32" s="136"/>
      <c r="K32" s="136"/>
    </row>
    <row r="33" spans="1:11" ht="20.149999999999999" customHeight="1" x14ac:dyDescent="0.4">
      <c r="A33" s="140"/>
    </row>
    <row r="34" spans="1:11" ht="20.149999999999999" customHeight="1" x14ac:dyDescent="0.4">
      <c r="B34" s="141"/>
      <c r="C34" s="141"/>
      <c r="D34" s="141"/>
      <c r="E34" s="141"/>
      <c r="F34" s="141"/>
      <c r="G34" s="141"/>
      <c r="H34" s="141"/>
      <c r="I34" s="141"/>
      <c r="J34" s="141"/>
      <c r="K34" s="141"/>
    </row>
  </sheetData>
  <mergeCells count="1">
    <mergeCell ref="A1:L1"/>
  </mergeCells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Line Item Budget</vt:lpstr>
      <vt:lpstr>Program Budget</vt:lpstr>
      <vt:lpstr>HRD Parameters</vt:lpstr>
      <vt:lpstr>HRD Budget</vt:lpstr>
      <vt:lpstr>SPEAville Police</vt:lpstr>
      <vt:lpstr>PARK CONGESTION</vt:lpstr>
      <vt:lpstr>STATE TAXE REFORM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</dc:creator>
  <cp:lastModifiedBy>Jerome Dumortier</cp:lastModifiedBy>
  <cp:lastPrinted>2023-09-09T13:33:52Z</cp:lastPrinted>
  <dcterms:created xsi:type="dcterms:W3CDTF">2015-06-05T18:19:34Z</dcterms:created>
  <dcterms:modified xsi:type="dcterms:W3CDTF">2026-10-18T22:54:50Z</dcterms:modified>
</cp:coreProperties>
</file>